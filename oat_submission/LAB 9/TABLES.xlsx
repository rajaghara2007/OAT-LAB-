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LCOME\Desktop\oat submission\LAB 9\"/>
    </mc:Choice>
  </mc:AlternateContent>
  <xr:revisionPtr revIDLastSave="0" documentId="13_ncr:1_{4F8B27B0-21A5-4672-8841-C4D140C012E9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Sheet1" sheetId="1" r:id="rId1"/>
    <sheet name="Sheet2" sheetId="2" r:id="rId2"/>
  </sheets>
  <calcPr calcId="191029"/>
  <pivotCaches>
    <pivotCache cacheId="0" r:id="rId3"/>
    <pivotCache cacheId="1" r:id="rId4"/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2" l="1"/>
  <c r="D23" i="2"/>
</calcChain>
</file>

<file path=xl/sharedStrings.xml><?xml version="1.0" encoding="utf-8"?>
<sst xmlns="http://schemas.openxmlformats.org/spreadsheetml/2006/main" count="132" uniqueCount="54">
  <si>
    <t>Name</t>
  </si>
  <si>
    <t>Age</t>
  </si>
  <si>
    <t>Department</t>
  </si>
  <si>
    <t>Salary</t>
  </si>
  <si>
    <t>Experience</t>
  </si>
  <si>
    <t>Sales</t>
  </si>
  <si>
    <t>Aarav</t>
  </si>
  <si>
    <t>HR</t>
  </si>
  <si>
    <t>Vivaan</t>
  </si>
  <si>
    <t>Aditya</t>
  </si>
  <si>
    <t>IT</t>
  </si>
  <si>
    <t>Vihaan</t>
  </si>
  <si>
    <t>Finance</t>
  </si>
  <si>
    <t>Arjun</t>
  </si>
  <si>
    <t>Marketing</t>
  </si>
  <si>
    <t>Sai</t>
  </si>
  <si>
    <t>Operations</t>
  </si>
  <si>
    <t>Reyansh</t>
  </si>
  <si>
    <t>Krish</t>
  </si>
  <si>
    <t>Ishaan</t>
  </si>
  <si>
    <t>Kabir</t>
  </si>
  <si>
    <t>Dhruv</t>
  </si>
  <si>
    <t>Rohan</t>
  </si>
  <si>
    <t>Karan</t>
  </si>
  <si>
    <t xml:space="preserve">Total Employees  = </t>
  </si>
  <si>
    <t xml:space="preserve">Employees work in EAST region  =   </t>
  </si>
  <si>
    <t>Cosmetics</t>
  </si>
  <si>
    <t>Laptop</t>
  </si>
  <si>
    <t>Neha</t>
  </si>
  <si>
    <t>West</t>
  </si>
  <si>
    <t>Electronics</t>
  </si>
  <si>
    <t>Tablet</t>
  </si>
  <si>
    <t>Rahul</t>
  </si>
  <si>
    <t>East</t>
  </si>
  <si>
    <t>Grocery</t>
  </si>
  <si>
    <t>Mobile</t>
  </si>
  <si>
    <t>Priya</t>
  </si>
  <si>
    <t>South</t>
  </si>
  <si>
    <t>Clothing</t>
  </si>
  <si>
    <t>Amit</t>
  </si>
  <si>
    <t>North</t>
  </si>
  <si>
    <t>Grand Total</t>
  </si>
  <si>
    <t>Furniture</t>
  </si>
  <si>
    <t>Sum of Total Sales</t>
  </si>
  <si>
    <t>Row Labels</t>
  </si>
  <si>
    <t>Column Labels</t>
  </si>
  <si>
    <t>Total Sales</t>
  </si>
  <si>
    <t>Unit Price</t>
  </si>
  <si>
    <t>Quantity</t>
  </si>
  <si>
    <t>Product</t>
  </si>
  <si>
    <t>Salesperson</t>
  </si>
  <si>
    <t>Region</t>
  </si>
  <si>
    <t>Date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</si>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</sst>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center"/>
    </xf>
    <xf numFmtId="16" fontId="0" fillId="2" borderId="0" xfId="0" applyNumberFormat="1" applyFont="1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4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Salary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Sheet1!$A$2:$C$14</c:f>
              <c:multiLvlStrCache>
                <c:ptCount val="13"/>
                <c:lvl>
                  <c:pt idx="0">
                    <c:v>HR</c:v>
                  </c:pt>
                  <c:pt idx="1">
                    <c:v>Sales</c:v>
                  </c:pt>
                  <c:pt idx="2">
                    <c:v>IT</c:v>
                  </c:pt>
                  <c:pt idx="3">
                    <c:v>Finance</c:v>
                  </c:pt>
                  <c:pt idx="4">
                    <c:v>Marketing</c:v>
                  </c:pt>
                  <c:pt idx="5">
                    <c:v>Operations</c:v>
                  </c:pt>
                  <c:pt idx="6">
                    <c:v>HR</c:v>
                  </c:pt>
                  <c:pt idx="7">
                    <c:v>Sales</c:v>
                  </c:pt>
                  <c:pt idx="8">
                    <c:v>IT</c:v>
                  </c:pt>
                  <c:pt idx="9">
                    <c:v>Finance</c:v>
                  </c:pt>
                  <c:pt idx="10">
                    <c:v>Marketing</c:v>
                  </c:pt>
                  <c:pt idx="11">
                    <c:v>Operations</c:v>
                  </c:pt>
                  <c:pt idx="12">
                    <c:v>HR</c:v>
                  </c:pt>
                </c:lvl>
                <c:lvl>
                  <c:pt idx="0">
                    <c:v>28</c:v>
                  </c:pt>
                  <c:pt idx="1">
                    <c:v>31</c:v>
                  </c:pt>
                  <c:pt idx="2">
                    <c:v>34</c:v>
                  </c:pt>
                  <c:pt idx="3">
                    <c:v>37</c:v>
                  </c:pt>
                  <c:pt idx="4">
                    <c:v>40</c:v>
                  </c:pt>
                  <c:pt idx="5">
                    <c:v>24</c:v>
                  </c:pt>
                  <c:pt idx="6">
                    <c:v>27</c:v>
                  </c:pt>
                  <c:pt idx="7">
                    <c:v>30</c:v>
                  </c:pt>
                  <c:pt idx="8">
                    <c:v>33</c:v>
                  </c:pt>
                  <c:pt idx="9">
                    <c:v>36</c:v>
                  </c:pt>
                  <c:pt idx="10">
                    <c:v>39</c:v>
                  </c:pt>
                  <c:pt idx="11">
                    <c:v>23</c:v>
                  </c:pt>
                  <c:pt idx="12">
                    <c:v>26</c:v>
                  </c:pt>
                </c:lvl>
                <c:lvl>
                  <c:pt idx="0">
                    <c:v>Aarav</c:v>
                  </c:pt>
                  <c:pt idx="1">
                    <c:v>Vivaan</c:v>
                  </c:pt>
                  <c:pt idx="2">
                    <c:v>Aditya</c:v>
                  </c:pt>
                  <c:pt idx="3">
                    <c:v>Vihaan</c:v>
                  </c:pt>
                  <c:pt idx="4">
                    <c:v>Arjun</c:v>
                  </c:pt>
                  <c:pt idx="5">
                    <c:v>Sai</c:v>
                  </c:pt>
                  <c:pt idx="6">
                    <c:v>Reyansh</c:v>
                  </c:pt>
                  <c:pt idx="7">
                    <c:v>Krish</c:v>
                  </c:pt>
                  <c:pt idx="8">
                    <c:v>Ishaan</c:v>
                  </c:pt>
                  <c:pt idx="9">
                    <c:v>Kabir</c:v>
                  </c:pt>
                  <c:pt idx="10">
                    <c:v>Dhruv</c:v>
                  </c:pt>
                  <c:pt idx="11">
                    <c:v>Rohan</c:v>
                  </c:pt>
                  <c:pt idx="12">
                    <c:v>Karan</c:v>
                  </c:pt>
                </c:lvl>
              </c:multiLvlStrCache>
            </c:multiLvlStrRef>
          </c:cat>
          <c:val>
            <c:numRef>
              <c:f>Sheet1!$D$2:$D$14</c:f>
              <c:numCache>
                <c:formatCode>General</c:formatCode>
                <c:ptCount val="13"/>
                <c:pt idx="0">
                  <c:v>39500</c:v>
                </c:pt>
                <c:pt idx="1">
                  <c:v>44250</c:v>
                </c:pt>
                <c:pt idx="2">
                  <c:v>49000</c:v>
                </c:pt>
                <c:pt idx="3">
                  <c:v>53750</c:v>
                </c:pt>
                <c:pt idx="4">
                  <c:v>58500</c:v>
                </c:pt>
                <c:pt idx="5">
                  <c:v>63250</c:v>
                </c:pt>
                <c:pt idx="6">
                  <c:v>68000</c:v>
                </c:pt>
                <c:pt idx="7">
                  <c:v>72750</c:v>
                </c:pt>
                <c:pt idx="8">
                  <c:v>77500</c:v>
                </c:pt>
                <c:pt idx="9">
                  <c:v>82250</c:v>
                </c:pt>
                <c:pt idx="10">
                  <c:v>87000</c:v>
                </c:pt>
                <c:pt idx="11">
                  <c:v>91750</c:v>
                </c:pt>
                <c:pt idx="12">
                  <c:v>96500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6-49CA-9634-6A475C18FF28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Experience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Sheet1!$A$2:$C$14</c:f>
              <c:multiLvlStrCache>
                <c:ptCount val="13"/>
                <c:lvl>
                  <c:pt idx="0">
                    <c:v>HR</c:v>
                  </c:pt>
                  <c:pt idx="1">
                    <c:v>Sales</c:v>
                  </c:pt>
                  <c:pt idx="2">
                    <c:v>IT</c:v>
                  </c:pt>
                  <c:pt idx="3">
                    <c:v>Finance</c:v>
                  </c:pt>
                  <c:pt idx="4">
                    <c:v>Marketing</c:v>
                  </c:pt>
                  <c:pt idx="5">
                    <c:v>Operations</c:v>
                  </c:pt>
                  <c:pt idx="6">
                    <c:v>HR</c:v>
                  </c:pt>
                  <c:pt idx="7">
                    <c:v>Sales</c:v>
                  </c:pt>
                  <c:pt idx="8">
                    <c:v>IT</c:v>
                  </c:pt>
                  <c:pt idx="9">
                    <c:v>Finance</c:v>
                  </c:pt>
                  <c:pt idx="10">
                    <c:v>Marketing</c:v>
                  </c:pt>
                  <c:pt idx="11">
                    <c:v>Operations</c:v>
                  </c:pt>
                  <c:pt idx="12">
                    <c:v>HR</c:v>
                  </c:pt>
                </c:lvl>
                <c:lvl>
                  <c:pt idx="0">
                    <c:v>28</c:v>
                  </c:pt>
                  <c:pt idx="1">
                    <c:v>31</c:v>
                  </c:pt>
                  <c:pt idx="2">
                    <c:v>34</c:v>
                  </c:pt>
                  <c:pt idx="3">
                    <c:v>37</c:v>
                  </c:pt>
                  <c:pt idx="4">
                    <c:v>40</c:v>
                  </c:pt>
                  <c:pt idx="5">
                    <c:v>24</c:v>
                  </c:pt>
                  <c:pt idx="6">
                    <c:v>27</c:v>
                  </c:pt>
                  <c:pt idx="7">
                    <c:v>30</c:v>
                  </c:pt>
                  <c:pt idx="8">
                    <c:v>33</c:v>
                  </c:pt>
                  <c:pt idx="9">
                    <c:v>36</c:v>
                  </c:pt>
                  <c:pt idx="10">
                    <c:v>39</c:v>
                  </c:pt>
                  <c:pt idx="11">
                    <c:v>23</c:v>
                  </c:pt>
                  <c:pt idx="12">
                    <c:v>26</c:v>
                  </c:pt>
                </c:lvl>
                <c:lvl>
                  <c:pt idx="0">
                    <c:v>Aarav</c:v>
                  </c:pt>
                  <c:pt idx="1">
                    <c:v>Vivaan</c:v>
                  </c:pt>
                  <c:pt idx="2">
                    <c:v>Aditya</c:v>
                  </c:pt>
                  <c:pt idx="3">
                    <c:v>Vihaan</c:v>
                  </c:pt>
                  <c:pt idx="4">
                    <c:v>Arjun</c:v>
                  </c:pt>
                  <c:pt idx="5">
                    <c:v>Sai</c:v>
                  </c:pt>
                  <c:pt idx="6">
                    <c:v>Reyansh</c:v>
                  </c:pt>
                  <c:pt idx="7">
                    <c:v>Krish</c:v>
                  </c:pt>
                  <c:pt idx="8">
                    <c:v>Ishaan</c:v>
                  </c:pt>
                  <c:pt idx="9">
                    <c:v>Kabir</c:v>
                  </c:pt>
                  <c:pt idx="10">
                    <c:v>Dhruv</c:v>
                  </c:pt>
                  <c:pt idx="11">
                    <c:v>Rohan</c:v>
                  </c:pt>
                  <c:pt idx="12">
                    <c:v>Karan</c:v>
                  </c:pt>
                </c:lvl>
              </c:multiLvlStrCache>
            </c:multiLvlStrRef>
          </c:cat>
          <c:val>
            <c:numRef>
              <c:f>Sheet1!$E$2:$E$14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46-49CA-9634-6A475C18FF28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Sales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Sheet1!$A$2:$C$14</c:f>
              <c:multiLvlStrCache>
                <c:ptCount val="13"/>
                <c:lvl>
                  <c:pt idx="0">
                    <c:v>HR</c:v>
                  </c:pt>
                  <c:pt idx="1">
                    <c:v>Sales</c:v>
                  </c:pt>
                  <c:pt idx="2">
                    <c:v>IT</c:v>
                  </c:pt>
                  <c:pt idx="3">
                    <c:v>Finance</c:v>
                  </c:pt>
                  <c:pt idx="4">
                    <c:v>Marketing</c:v>
                  </c:pt>
                  <c:pt idx="5">
                    <c:v>Operations</c:v>
                  </c:pt>
                  <c:pt idx="6">
                    <c:v>HR</c:v>
                  </c:pt>
                  <c:pt idx="7">
                    <c:v>Sales</c:v>
                  </c:pt>
                  <c:pt idx="8">
                    <c:v>IT</c:v>
                  </c:pt>
                  <c:pt idx="9">
                    <c:v>Finance</c:v>
                  </c:pt>
                  <c:pt idx="10">
                    <c:v>Marketing</c:v>
                  </c:pt>
                  <c:pt idx="11">
                    <c:v>Operations</c:v>
                  </c:pt>
                  <c:pt idx="12">
                    <c:v>HR</c:v>
                  </c:pt>
                </c:lvl>
                <c:lvl>
                  <c:pt idx="0">
                    <c:v>28</c:v>
                  </c:pt>
                  <c:pt idx="1">
                    <c:v>31</c:v>
                  </c:pt>
                  <c:pt idx="2">
                    <c:v>34</c:v>
                  </c:pt>
                  <c:pt idx="3">
                    <c:v>37</c:v>
                  </c:pt>
                  <c:pt idx="4">
                    <c:v>40</c:v>
                  </c:pt>
                  <c:pt idx="5">
                    <c:v>24</c:v>
                  </c:pt>
                  <c:pt idx="6">
                    <c:v>27</c:v>
                  </c:pt>
                  <c:pt idx="7">
                    <c:v>30</c:v>
                  </c:pt>
                  <c:pt idx="8">
                    <c:v>33</c:v>
                  </c:pt>
                  <c:pt idx="9">
                    <c:v>36</c:v>
                  </c:pt>
                  <c:pt idx="10">
                    <c:v>39</c:v>
                  </c:pt>
                  <c:pt idx="11">
                    <c:v>23</c:v>
                  </c:pt>
                  <c:pt idx="12">
                    <c:v>26</c:v>
                  </c:pt>
                </c:lvl>
                <c:lvl>
                  <c:pt idx="0">
                    <c:v>Aarav</c:v>
                  </c:pt>
                  <c:pt idx="1">
                    <c:v>Vivaan</c:v>
                  </c:pt>
                  <c:pt idx="2">
                    <c:v>Aditya</c:v>
                  </c:pt>
                  <c:pt idx="3">
                    <c:v>Vihaan</c:v>
                  </c:pt>
                  <c:pt idx="4">
                    <c:v>Arjun</c:v>
                  </c:pt>
                  <c:pt idx="5">
                    <c:v>Sai</c:v>
                  </c:pt>
                  <c:pt idx="6">
                    <c:v>Reyansh</c:v>
                  </c:pt>
                  <c:pt idx="7">
                    <c:v>Krish</c:v>
                  </c:pt>
                  <c:pt idx="8">
                    <c:v>Ishaan</c:v>
                  </c:pt>
                  <c:pt idx="9">
                    <c:v>Kabir</c:v>
                  </c:pt>
                  <c:pt idx="10">
                    <c:v>Dhruv</c:v>
                  </c:pt>
                  <c:pt idx="11">
                    <c:v>Rohan</c:v>
                  </c:pt>
                  <c:pt idx="12">
                    <c:v>Karan</c:v>
                  </c:pt>
                </c:lvl>
              </c:multiLvlStrCache>
            </c:multiLvlStrRef>
          </c:cat>
          <c:val>
            <c:numRef>
              <c:f>Sheet1!$F$2:$F$14</c:f>
              <c:numCache>
                <c:formatCode>General</c:formatCode>
                <c:ptCount val="13"/>
                <c:pt idx="0">
                  <c:v>424</c:v>
                </c:pt>
                <c:pt idx="1">
                  <c:v>561</c:v>
                </c:pt>
                <c:pt idx="2">
                  <c:v>698</c:v>
                </c:pt>
                <c:pt idx="3">
                  <c:v>835</c:v>
                </c:pt>
                <c:pt idx="4">
                  <c:v>972</c:v>
                </c:pt>
                <c:pt idx="5">
                  <c:v>259</c:v>
                </c:pt>
                <c:pt idx="6">
                  <c:v>396</c:v>
                </c:pt>
                <c:pt idx="7">
                  <c:v>533</c:v>
                </c:pt>
                <c:pt idx="8">
                  <c:v>670</c:v>
                </c:pt>
                <c:pt idx="9">
                  <c:v>807</c:v>
                </c:pt>
                <c:pt idx="10">
                  <c:v>944</c:v>
                </c:pt>
                <c:pt idx="11">
                  <c:v>231</c:v>
                </c:pt>
                <c:pt idx="12">
                  <c:v>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46-49CA-9634-6A475C18F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396479"/>
        <c:axId val="517998303"/>
      </c:lineChart>
      <c:catAx>
        <c:axId val="43739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98303"/>
        <c:crosses val="autoZero"/>
        <c:auto val="1"/>
        <c:lblAlgn val="ctr"/>
        <c:lblOffset val="100"/>
        <c:noMultiLvlLbl val="0"/>
      </c:catAx>
      <c:valAx>
        <c:axId val="51799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9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3C-4A07-BB14-84790A5402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3C-4A07-BB14-84790A5402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3C-4A07-BB14-84790A5402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3C-4A07-BB14-84790A5402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3C-4A07-BB14-84790A54025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3C-4A07-BB14-84790A54025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A3C-4A07-BB14-84790A54025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A3C-4A07-BB14-84790A54025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A3C-4A07-BB14-84790A54025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A3C-4A07-BB14-84790A54025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A3C-4A07-BB14-84790A54025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A3C-4A07-BB14-84790A54025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A3C-4A07-BB14-84790A5402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Sheet1!$A$2:$A$14</c:f>
              <c:strCache>
                <c:ptCount val="13"/>
                <c:pt idx="0">
                  <c:v>Aarav</c:v>
                </c:pt>
                <c:pt idx="1">
                  <c:v>Vivaan</c:v>
                </c:pt>
                <c:pt idx="2">
                  <c:v>Aditya</c:v>
                </c:pt>
                <c:pt idx="3">
                  <c:v>Vihaan</c:v>
                </c:pt>
                <c:pt idx="4">
                  <c:v>Arjun</c:v>
                </c:pt>
                <c:pt idx="5">
                  <c:v>Sai</c:v>
                </c:pt>
                <c:pt idx="6">
                  <c:v>Reyansh</c:v>
                </c:pt>
                <c:pt idx="7">
                  <c:v>Krish</c:v>
                </c:pt>
                <c:pt idx="8">
                  <c:v>Ishaan</c:v>
                </c:pt>
                <c:pt idx="9">
                  <c:v>Kabir</c:v>
                </c:pt>
                <c:pt idx="10">
                  <c:v>Dhruv</c:v>
                </c:pt>
                <c:pt idx="11">
                  <c:v>Rohan</c:v>
                </c:pt>
                <c:pt idx="12">
                  <c:v>Karan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28</c:v>
                </c:pt>
                <c:pt idx="1">
                  <c:v>31</c:v>
                </c:pt>
                <c:pt idx="2">
                  <c:v>34</c:v>
                </c:pt>
                <c:pt idx="3">
                  <c:v>37</c:v>
                </c:pt>
                <c:pt idx="4">
                  <c:v>40</c:v>
                </c:pt>
                <c:pt idx="5">
                  <c:v>24</c:v>
                </c:pt>
                <c:pt idx="6">
                  <c:v>27</c:v>
                </c:pt>
                <c:pt idx="7">
                  <c:v>30</c:v>
                </c:pt>
                <c:pt idx="8">
                  <c:v>33</c:v>
                </c:pt>
                <c:pt idx="9">
                  <c:v>36</c:v>
                </c:pt>
                <c:pt idx="10">
                  <c:v>39</c:v>
                </c:pt>
                <c:pt idx="11">
                  <c:v>23</c:v>
                </c:pt>
                <c:pt idx="1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9-4103-938B-CA4E49E8907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Sheet1!$A$2:$C$14</c:f>
              <c:multiLvlStrCache>
                <c:ptCount val="13"/>
                <c:lvl>
                  <c:pt idx="0">
                    <c:v>HR</c:v>
                  </c:pt>
                  <c:pt idx="1">
                    <c:v>Sales</c:v>
                  </c:pt>
                  <c:pt idx="2">
                    <c:v>IT</c:v>
                  </c:pt>
                  <c:pt idx="3">
                    <c:v>Finance</c:v>
                  </c:pt>
                  <c:pt idx="4">
                    <c:v>Marketing</c:v>
                  </c:pt>
                  <c:pt idx="5">
                    <c:v>Operations</c:v>
                  </c:pt>
                  <c:pt idx="6">
                    <c:v>HR</c:v>
                  </c:pt>
                  <c:pt idx="7">
                    <c:v>Sales</c:v>
                  </c:pt>
                  <c:pt idx="8">
                    <c:v>IT</c:v>
                  </c:pt>
                  <c:pt idx="9">
                    <c:v>Finance</c:v>
                  </c:pt>
                  <c:pt idx="10">
                    <c:v>Marketing</c:v>
                  </c:pt>
                  <c:pt idx="11">
                    <c:v>Operations</c:v>
                  </c:pt>
                  <c:pt idx="12">
                    <c:v>HR</c:v>
                  </c:pt>
                </c:lvl>
                <c:lvl>
                  <c:pt idx="0">
                    <c:v>28</c:v>
                  </c:pt>
                  <c:pt idx="1">
                    <c:v>31</c:v>
                  </c:pt>
                  <c:pt idx="2">
                    <c:v>34</c:v>
                  </c:pt>
                  <c:pt idx="3">
                    <c:v>37</c:v>
                  </c:pt>
                  <c:pt idx="4">
                    <c:v>40</c:v>
                  </c:pt>
                  <c:pt idx="5">
                    <c:v>24</c:v>
                  </c:pt>
                  <c:pt idx="6">
                    <c:v>27</c:v>
                  </c:pt>
                  <c:pt idx="7">
                    <c:v>30</c:v>
                  </c:pt>
                  <c:pt idx="8">
                    <c:v>33</c:v>
                  </c:pt>
                  <c:pt idx="9">
                    <c:v>36</c:v>
                  </c:pt>
                  <c:pt idx="10">
                    <c:v>39</c:v>
                  </c:pt>
                  <c:pt idx="11">
                    <c:v>23</c:v>
                  </c:pt>
                  <c:pt idx="12">
                    <c:v>26</c:v>
                  </c:pt>
                </c:lvl>
                <c:lvl>
                  <c:pt idx="0">
                    <c:v>Aarav</c:v>
                  </c:pt>
                  <c:pt idx="1">
                    <c:v>Vivaan</c:v>
                  </c:pt>
                  <c:pt idx="2">
                    <c:v>Aditya</c:v>
                  </c:pt>
                  <c:pt idx="3">
                    <c:v>Vihaan</c:v>
                  </c:pt>
                  <c:pt idx="4">
                    <c:v>Arjun</c:v>
                  </c:pt>
                  <c:pt idx="5">
                    <c:v>Sai</c:v>
                  </c:pt>
                  <c:pt idx="6">
                    <c:v>Reyansh</c:v>
                  </c:pt>
                  <c:pt idx="7">
                    <c:v>Krish</c:v>
                  </c:pt>
                  <c:pt idx="8">
                    <c:v>Ishaan</c:v>
                  </c:pt>
                  <c:pt idx="9">
                    <c:v>Kabir</c:v>
                  </c:pt>
                  <c:pt idx="10">
                    <c:v>Dhruv</c:v>
                  </c:pt>
                  <c:pt idx="11">
                    <c:v>Rohan</c:v>
                  </c:pt>
                  <c:pt idx="12">
                    <c:v>Karan</c:v>
                  </c:pt>
                </c:lvl>
              </c:multiLvlStrCache>
            </c:multiLvlStrRef>
          </c:cat>
          <c:val>
            <c:numRef>
              <c:f>Sheet1!$D$2:$D$14</c:f>
              <c:numCache>
                <c:formatCode>General</c:formatCode>
                <c:ptCount val="13"/>
                <c:pt idx="0">
                  <c:v>39500</c:v>
                </c:pt>
                <c:pt idx="1">
                  <c:v>44250</c:v>
                </c:pt>
                <c:pt idx="2">
                  <c:v>49000</c:v>
                </c:pt>
                <c:pt idx="3">
                  <c:v>53750</c:v>
                </c:pt>
                <c:pt idx="4">
                  <c:v>58500</c:v>
                </c:pt>
                <c:pt idx="5">
                  <c:v>63250</c:v>
                </c:pt>
                <c:pt idx="6">
                  <c:v>68000</c:v>
                </c:pt>
                <c:pt idx="7">
                  <c:v>72750</c:v>
                </c:pt>
                <c:pt idx="8">
                  <c:v>77500</c:v>
                </c:pt>
                <c:pt idx="9">
                  <c:v>82250</c:v>
                </c:pt>
                <c:pt idx="10">
                  <c:v>87000</c:v>
                </c:pt>
                <c:pt idx="11">
                  <c:v>91750</c:v>
                </c:pt>
                <c:pt idx="12">
                  <c:v>96500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4-4376-AE0F-DD386048660A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Experience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Sheet1!$A$2:$C$14</c:f>
              <c:multiLvlStrCache>
                <c:ptCount val="13"/>
                <c:lvl>
                  <c:pt idx="0">
                    <c:v>HR</c:v>
                  </c:pt>
                  <c:pt idx="1">
                    <c:v>Sales</c:v>
                  </c:pt>
                  <c:pt idx="2">
                    <c:v>IT</c:v>
                  </c:pt>
                  <c:pt idx="3">
                    <c:v>Finance</c:v>
                  </c:pt>
                  <c:pt idx="4">
                    <c:v>Marketing</c:v>
                  </c:pt>
                  <c:pt idx="5">
                    <c:v>Operations</c:v>
                  </c:pt>
                  <c:pt idx="6">
                    <c:v>HR</c:v>
                  </c:pt>
                  <c:pt idx="7">
                    <c:v>Sales</c:v>
                  </c:pt>
                  <c:pt idx="8">
                    <c:v>IT</c:v>
                  </c:pt>
                  <c:pt idx="9">
                    <c:v>Finance</c:v>
                  </c:pt>
                  <c:pt idx="10">
                    <c:v>Marketing</c:v>
                  </c:pt>
                  <c:pt idx="11">
                    <c:v>Operations</c:v>
                  </c:pt>
                  <c:pt idx="12">
                    <c:v>HR</c:v>
                  </c:pt>
                </c:lvl>
                <c:lvl>
                  <c:pt idx="0">
                    <c:v>28</c:v>
                  </c:pt>
                  <c:pt idx="1">
                    <c:v>31</c:v>
                  </c:pt>
                  <c:pt idx="2">
                    <c:v>34</c:v>
                  </c:pt>
                  <c:pt idx="3">
                    <c:v>37</c:v>
                  </c:pt>
                  <c:pt idx="4">
                    <c:v>40</c:v>
                  </c:pt>
                  <c:pt idx="5">
                    <c:v>24</c:v>
                  </c:pt>
                  <c:pt idx="6">
                    <c:v>27</c:v>
                  </c:pt>
                  <c:pt idx="7">
                    <c:v>30</c:v>
                  </c:pt>
                  <c:pt idx="8">
                    <c:v>33</c:v>
                  </c:pt>
                  <c:pt idx="9">
                    <c:v>36</c:v>
                  </c:pt>
                  <c:pt idx="10">
                    <c:v>39</c:v>
                  </c:pt>
                  <c:pt idx="11">
                    <c:v>23</c:v>
                  </c:pt>
                  <c:pt idx="12">
                    <c:v>26</c:v>
                  </c:pt>
                </c:lvl>
                <c:lvl>
                  <c:pt idx="0">
                    <c:v>Aarav</c:v>
                  </c:pt>
                  <c:pt idx="1">
                    <c:v>Vivaan</c:v>
                  </c:pt>
                  <c:pt idx="2">
                    <c:v>Aditya</c:v>
                  </c:pt>
                  <c:pt idx="3">
                    <c:v>Vihaan</c:v>
                  </c:pt>
                  <c:pt idx="4">
                    <c:v>Arjun</c:v>
                  </c:pt>
                  <c:pt idx="5">
                    <c:v>Sai</c:v>
                  </c:pt>
                  <c:pt idx="6">
                    <c:v>Reyansh</c:v>
                  </c:pt>
                  <c:pt idx="7">
                    <c:v>Krish</c:v>
                  </c:pt>
                  <c:pt idx="8">
                    <c:v>Ishaan</c:v>
                  </c:pt>
                  <c:pt idx="9">
                    <c:v>Kabir</c:v>
                  </c:pt>
                  <c:pt idx="10">
                    <c:v>Dhruv</c:v>
                  </c:pt>
                  <c:pt idx="11">
                    <c:v>Rohan</c:v>
                  </c:pt>
                  <c:pt idx="12">
                    <c:v>Karan</c:v>
                  </c:pt>
                </c:lvl>
              </c:multiLvlStrCache>
            </c:multiLvlStrRef>
          </c:cat>
          <c:val>
            <c:numRef>
              <c:f>Sheet1!$E$2:$E$14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94-4376-AE0F-DD386048660A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Sheet1!$A$2:$C$14</c:f>
              <c:multiLvlStrCache>
                <c:ptCount val="13"/>
                <c:lvl>
                  <c:pt idx="0">
                    <c:v>HR</c:v>
                  </c:pt>
                  <c:pt idx="1">
                    <c:v>Sales</c:v>
                  </c:pt>
                  <c:pt idx="2">
                    <c:v>IT</c:v>
                  </c:pt>
                  <c:pt idx="3">
                    <c:v>Finance</c:v>
                  </c:pt>
                  <c:pt idx="4">
                    <c:v>Marketing</c:v>
                  </c:pt>
                  <c:pt idx="5">
                    <c:v>Operations</c:v>
                  </c:pt>
                  <c:pt idx="6">
                    <c:v>HR</c:v>
                  </c:pt>
                  <c:pt idx="7">
                    <c:v>Sales</c:v>
                  </c:pt>
                  <c:pt idx="8">
                    <c:v>IT</c:v>
                  </c:pt>
                  <c:pt idx="9">
                    <c:v>Finance</c:v>
                  </c:pt>
                  <c:pt idx="10">
                    <c:v>Marketing</c:v>
                  </c:pt>
                  <c:pt idx="11">
                    <c:v>Operations</c:v>
                  </c:pt>
                  <c:pt idx="12">
                    <c:v>HR</c:v>
                  </c:pt>
                </c:lvl>
                <c:lvl>
                  <c:pt idx="0">
                    <c:v>28</c:v>
                  </c:pt>
                  <c:pt idx="1">
                    <c:v>31</c:v>
                  </c:pt>
                  <c:pt idx="2">
                    <c:v>34</c:v>
                  </c:pt>
                  <c:pt idx="3">
                    <c:v>37</c:v>
                  </c:pt>
                  <c:pt idx="4">
                    <c:v>40</c:v>
                  </c:pt>
                  <c:pt idx="5">
                    <c:v>24</c:v>
                  </c:pt>
                  <c:pt idx="6">
                    <c:v>27</c:v>
                  </c:pt>
                  <c:pt idx="7">
                    <c:v>30</c:v>
                  </c:pt>
                  <c:pt idx="8">
                    <c:v>33</c:v>
                  </c:pt>
                  <c:pt idx="9">
                    <c:v>36</c:v>
                  </c:pt>
                  <c:pt idx="10">
                    <c:v>39</c:v>
                  </c:pt>
                  <c:pt idx="11">
                    <c:v>23</c:v>
                  </c:pt>
                  <c:pt idx="12">
                    <c:v>26</c:v>
                  </c:pt>
                </c:lvl>
                <c:lvl>
                  <c:pt idx="0">
                    <c:v>Aarav</c:v>
                  </c:pt>
                  <c:pt idx="1">
                    <c:v>Vivaan</c:v>
                  </c:pt>
                  <c:pt idx="2">
                    <c:v>Aditya</c:v>
                  </c:pt>
                  <c:pt idx="3">
                    <c:v>Vihaan</c:v>
                  </c:pt>
                  <c:pt idx="4">
                    <c:v>Arjun</c:v>
                  </c:pt>
                  <c:pt idx="5">
                    <c:v>Sai</c:v>
                  </c:pt>
                  <c:pt idx="6">
                    <c:v>Reyansh</c:v>
                  </c:pt>
                  <c:pt idx="7">
                    <c:v>Krish</c:v>
                  </c:pt>
                  <c:pt idx="8">
                    <c:v>Ishaan</c:v>
                  </c:pt>
                  <c:pt idx="9">
                    <c:v>Kabir</c:v>
                  </c:pt>
                  <c:pt idx="10">
                    <c:v>Dhruv</c:v>
                  </c:pt>
                  <c:pt idx="11">
                    <c:v>Rohan</c:v>
                  </c:pt>
                  <c:pt idx="12">
                    <c:v>Karan</c:v>
                  </c:pt>
                </c:lvl>
              </c:multiLvlStrCache>
            </c:multiLvlStrRef>
          </c:cat>
          <c:val>
            <c:numRef>
              <c:f>Sheet1!$F$2:$F$14</c:f>
              <c:numCache>
                <c:formatCode>General</c:formatCode>
                <c:ptCount val="13"/>
                <c:pt idx="0">
                  <c:v>424</c:v>
                </c:pt>
                <c:pt idx="1">
                  <c:v>561</c:v>
                </c:pt>
                <c:pt idx="2">
                  <c:v>698</c:v>
                </c:pt>
                <c:pt idx="3">
                  <c:v>835</c:v>
                </c:pt>
                <c:pt idx="4">
                  <c:v>972</c:v>
                </c:pt>
                <c:pt idx="5">
                  <c:v>259</c:v>
                </c:pt>
                <c:pt idx="6">
                  <c:v>396</c:v>
                </c:pt>
                <c:pt idx="7">
                  <c:v>533</c:v>
                </c:pt>
                <c:pt idx="8">
                  <c:v>670</c:v>
                </c:pt>
                <c:pt idx="9">
                  <c:v>807</c:v>
                </c:pt>
                <c:pt idx="10">
                  <c:v>944</c:v>
                </c:pt>
                <c:pt idx="11">
                  <c:v>231</c:v>
                </c:pt>
                <c:pt idx="12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94-4376-AE0F-DD3860486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gapDepth val="75"/>
        <c:shape val="box"/>
        <c:axId val="530767343"/>
        <c:axId val="703592671"/>
        <c:axId val="0"/>
      </c:bar3DChart>
      <c:catAx>
        <c:axId val="53076734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92671"/>
        <c:crosses val="autoZero"/>
        <c:auto val="1"/>
        <c:lblAlgn val="ctr"/>
        <c:lblOffset val="100"/>
        <c:noMultiLvlLbl val="0"/>
      </c:catAx>
      <c:valAx>
        <c:axId val="70359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6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1</xdr:row>
      <xdr:rowOff>6350</xdr:rowOff>
    </xdr:from>
    <xdr:to>
      <xdr:col>14</xdr:col>
      <xdr:colOff>320675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9819B-8A2C-4CA9-B85E-5B7683159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219075</xdr:colOff>
      <xdr:row>15</xdr:row>
      <xdr:rowOff>177800</xdr:rowOff>
    </xdr:from>
    <xdr:to>
      <xdr:col>6</xdr:col>
      <xdr:colOff>9525</xdr:colOff>
      <xdr:row>30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826786-EE15-48E6-80F5-502036F5A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600075</xdr:colOff>
      <xdr:row>17</xdr:row>
      <xdr:rowOff>6350</xdr:rowOff>
    </xdr:from>
    <xdr:to>
      <xdr:col>15</xdr:col>
      <xdr:colOff>295275</xdr:colOff>
      <xdr:row>31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3B6015-6524-477B-B3FB-F01D3CF58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hart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hart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Charts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1.547167476849" createdVersion="6" refreshedVersion="6" minRefreshableVersion="3" recordCount="16" xr:uid="{05558A94-1F5B-4FFA-B1A7-7AF64430B47E}">
  <cacheSource type="worksheet">
    <worksheetSource ref="C2:H18" sheet="Sheet1 (2)" r:id="rId2"/>
  </cacheSource>
  <cacheFields count="6"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6"/>
    </cacheField>
    <cacheField name="Unit Price" numFmtId="0">
      <sharedItems containsSemiMixedTypes="0" containsString="0" containsNumber="1" containsInteger="1" minValue="20000" maxValue="50000"/>
    </cacheField>
    <cacheField name="Total Sales" numFmtId="0">
      <sharedItems containsSemiMixedTypes="0" containsString="0" containsNumber="1" containsInteger="1" minValue="50000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1.545739814814" createdVersion="6" refreshedVersion="6" minRefreshableVersion="3" recordCount="16" xr:uid="{614933DD-B064-4C0B-A89D-8181A90EA609}">
  <cacheSource type="worksheet">
    <worksheetSource ref="E2:H18" sheet="Sheet1 (2)" r:id="rId2"/>
  </cacheSource>
  <cacheFields count="4"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6"/>
    </cacheField>
    <cacheField name="Unit Price" numFmtId="0">
      <sharedItems containsSemiMixedTypes="0" containsString="0" containsNumber="1" containsInteger="1" minValue="20000" maxValue="50000"/>
    </cacheField>
    <cacheField name="Total Sales" numFmtId="0">
      <sharedItems containsSemiMixedTypes="0" containsString="0" containsNumber="1" containsInteger="1" minValue="50000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1.538973263887" createdVersion="6" refreshedVersion="6" minRefreshableVersion="3" recordCount="16" xr:uid="{3E49E3CA-4683-491B-9066-0EDE98E04768}">
  <cacheSource type="worksheet">
    <worksheetSource ref="B2:H18" sheet="Sheet1 (2)" r:id="rId2"/>
  </cacheSource>
  <cacheFields count="7">
    <cacheField name="Date" numFmtId="16">
      <sharedItems containsSemiMixedTypes="0" containsNonDate="0" containsDate="1" containsString="0" minDate="2026-01-01T00:00:00" maxDate="2026-01-17T00:00:00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6"/>
    </cacheField>
    <cacheField name="Unit Price" numFmtId="0">
      <sharedItems containsSemiMixedTypes="0" containsString="0" containsNumber="1" containsInteger="1" minValue="20000" maxValue="50000"/>
    </cacheField>
    <cacheField name="Total Sales" numFmtId="0">
      <sharedItems containsSemiMixedTypes="0" containsString="0" containsNumber="1" containsInteger="1" minValue="50000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mit"/>
    <x v="0"/>
    <n v="2"/>
    <n v="50000"/>
    <n v="100000"/>
  </r>
  <r>
    <x v="1"/>
    <s v="Priya"/>
    <x v="1"/>
    <n v="5"/>
    <n v="20000"/>
    <n v="100000"/>
  </r>
  <r>
    <x v="2"/>
    <s v="Rahul"/>
    <x v="2"/>
    <n v="3"/>
    <n v="30000"/>
    <n v="90000"/>
  </r>
  <r>
    <x v="3"/>
    <s v="Neha"/>
    <x v="0"/>
    <n v="1"/>
    <n v="50000"/>
    <n v="50000"/>
  </r>
  <r>
    <x v="0"/>
    <s v="Amit"/>
    <x v="1"/>
    <n v="4"/>
    <n v="20000"/>
    <n v="80000"/>
  </r>
  <r>
    <x v="1"/>
    <s v="Priya"/>
    <x v="2"/>
    <n v="2"/>
    <n v="30000"/>
    <n v="60000"/>
  </r>
  <r>
    <x v="2"/>
    <s v="Rahul"/>
    <x v="0"/>
    <n v="2"/>
    <n v="50000"/>
    <n v="100000"/>
  </r>
  <r>
    <x v="3"/>
    <s v="Neha"/>
    <x v="1"/>
    <n v="6"/>
    <n v="20000"/>
    <n v="120000"/>
  </r>
  <r>
    <x v="0"/>
    <s v="Amit"/>
    <x v="2"/>
    <n v="5"/>
    <n v="30000"/>
    <n v="150000"/>
  </r>
  <r>
    <x v="1"/>
    <s v="Priya"/>
    <x v="0"/>
    <n v="3"/>
    <n v="50000"/>
    <n v="150000"/>
  </r>
  <r>
    <x v="2"/>
    <s v="Rahul"/>
    <x v="1"/>
    <n v="4"/>
    <n v="20000"/>
    <n v="80000"/>
  </r>
  <r>
    <x v="3"/>
    <s v="Neha"/>
    <x v="2"/>
    <n v="2"/>
    <n v="30000"/>
    <n v="60000"/>
  </r>
  <r>
    <x v="0"/>
    <s v="Amit"/>
    <x v="0"/>
    <n v="1"/>
    <n v="50000"/>
    <n v="50000"/>
  </r>
  <r>
    <x v="1"/>
    <s v="Priya"/>
    <x v="1"/>
    <n v="3"/>
    <n v="20000"/>
    <n v="60000"/>
  </r>
  <r>
    <x v="2"/>
    <s v="Rahul"/>
    <x v="2"/>
    <n v="4"/>
    <n v="30000"/>
    <n v="120000"/>
  </r>
  <r>
    <x v="3"/>
    <s v="Neha"/>
    <x v="0"/>
    <n v="2"/>
    <n v="50000"/>
    <n v="10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2"/>
    <n v="50000"/>
    <n v="100000"/>
  </r>
  <r>
    <x v="1"/>
    <n v="5"/>
    <n v="20000"/>
    <n v="100000"/>
  </r>
  <r>
    <x v="2"/>
    <n v="3"/>
    <n v="30000"/>
    <n v="90000"/>
  </r>
  <r>
    <x v="0"/>
    <n v="1"/>
    <n v="50000"/>
    <n v="50000"/>
  </r>
  <r>
    <x v="1"/>
    <n v="4"/>
    <n v="20000"/>
    <n v="80000"/>
  </r>
  <r>
    <x v="2"/>
    <n v="2"/>
    <n v="30000"/>
    <n v="60000"/>
  </r>
  <r>
    <x v="0"/>
    <n v="2"/>
    <n v="50000"/>
    <n v="100000"/>
  </r>
  <r>
    <x v="1"/>
    <n v="6"/>
    <n v="20000"/>
    <n v="120000"/>
  </r>
  <r>
    <x v="2"/>
    <n v="5"/>
    <n v="30000"/>
    <n v="150000"/>
  </r>
  <r>
    <x v="0"/>
    <n v="3"/>
    <n v="50000"/>
    <n v="150000"/>
  </r>
  <r>
    <x v="1"/>
    <n v="4"/>
    <n v="20000"/>
    <n v="80000"/>
  </r>
  <r>
    <x v="2"/>
    <n v="2"/>
    <n v="30000"/>
    <n v="60000"/>
  </r>
  <r>
    <x v="0"/>
    <n v="1"/>
    <n v="50000"/>
    <n v="50000"/>
  </r>
  <r>
    <x v="1"/>
    <n v="3"/>
    <n v="20000"/>
    <n v="60000"/>
  </r>
  <r>
    <x v="2"/>
    <n v="4"/>
    <n v="30000"/>
    <n v="120000"/>
  </r>
  <r>
    <x v="0"/>
    <n v="2"/>
    <n v="50000"/>
    <n v="100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d v="2026-01-01T00:00:00"/>
    <x v="0"/>
    <s v="Amit"/>
    <s v="Laptop"/>
    <n v="2"/>
    <n v="50000"/>
    <n v="100000"/>
  </r>
  <r>
    <d v="2026-01-02T00:00:00"/>
    <x v="1"/>
    <s v="Priya"/>
    <s v="Mobile"/>
    <n v="5"/>
    <n v="20000"/>
    <n v="100000"/>
  </r>
  <r>
    <d v="2026-01-03T00:00:00"/>
    <x v="2"/>
    <s v="Rahul"/>
    <s v="Tablet"/>
    <n v="3"/>
    <n v="30000"/>
    <n v="90000"/>
  </r>
  <r>
    <d v="2026-01-04T00:00:00"/>
    <x v="3"/>
    <s v="Neha"/>
    <s v="Laptop"/>
    <n v="1"/>
    <n v="50000"/>
    <n v="50000"/>
  </r>
  <r>
    <d v="2026-01-05T00:00:00"/>
    <x v="0"/>
    <s v="Amit"/>
    <s v="Mobile"/>
    <n v="4"/>
    <n v="20000"/>
    <n v="80000"/>
  </r>
  <r>
    <d v="2026-01-06T00:00:00"/>
    <x v="1"/>
    <s v="Priya"/>
    <s v="Tablet"/>
    <n v="2"/>
    <n v="30000"/>
    <n v="60000"/>
  </r>
  <r>
    <d v="2026-01-07T00:00:00"/>
    <x v="2"/>
    <s v="Rahul"/>
    <s v="Laptop"/>
    <n v="2"/>
    <n v="50000"/>
    <n v="100000"/>
  </r>
  <r>
    <d v="2026-01-08T00:00:00"/>
    <x v="3"/>
    <s v="Neha"/>
    <s v="Mobile"/>
    <n v="6"/>
    <n v="20000"/>
    <n v="120000"/>
  </r>
  <r>
    <d v="2026-01-09T00:00:00"/>
    <x v="0"/>
    <s v="Amit"/>
    <s v="Tablet"/>
    <n v="5"/>
    <n v="30000"/>
    <n v="150000"/>
  </r>
  <r>
    <d v="2026-01-10T00:00:00"/>
    <x v="1"/>
    <s v="Priya"/>
    <s v="Laptop"/>
    <n v="3"/>
    <n v="50000"/>
    <n v="150000"/>
  </r>
  <r>
    <d v="2026-01-11T00:00:00"/>
    <x v="2"/>
    <s v="Rahul"/>
    <s v="Mobile"/>
    <n v="4"/>
    <n v="20000"/>
    <n v="80000"/>
  </r>
  <r>
    <d v="2026-01-12T00:00:00"/>
    <x v="3"/>
    <s v="Neha"/>
    <s v="Tablet"/>
    <n v="2"/>
    <n v="30000"/>
    <n v="60000"/>
  </r>
  <r>
    <d v="2026-01-13T00:00:00"/>
    <x v="0"/>
    <s v="Amit"/>
    <s v="Laptop"/>
    <n v="1"/>
    <n v="50000"/>
    <n v="50000"/>
  </r>
  <r>
    <d v="2026-01-14T00:00:00"/>
    <x v="1"/>
    <s v="Priya"/>
    <s v="Mobile"/>
    <n v="3"/>
    <n v="20000"/>
    <n v="60000"/>
  </r>
  <r>
    <d v="2026-01-15T00:00:00"/>
    <x v="2"/>
    <s v="Rahul"/>
    <s v="Tablet"/>
    <n v="4"/>
    <n v="30000"/>
    <n v="120000"/>
  </r>
  <r>
    <d v="2026-01-16T00:00:00"/>
    <x v="3"/>
    <s v="Neha"/>
    <s v="Laptop"/>
    <n v="2"/>
    <n v="50000"/>
    <n v="1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5B627-70D5-47F8-BA09-230D87BEAA53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2:L7" firstHeaderRow="1" firstDataRow="1" firstDataCol="1"/>
  <pivotFields count="7">
    <pivotField numFmtId="16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6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B9F4E-8841-4995-B1AA-D480235C78AA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0:L14" firstHeaderRow="1" firstDataRow="1" firstDataCol="1"/>
  <pivotFields count="4"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3" baseField="0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4BC35-93EC-40E3-83C0-08EBCD10102A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2:S7" firstHeaderRow="1" firstDataRow="2" firstDataCol="1"/>
  <pivotFields count="6">
    <pivotField axis="axisCol"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5" baseField="0" baseItem="0"/>
  </dataFields>
  <formats count="20"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0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2" type="button" dataOnly="0" labelOnly="1" outline="0" axis="axisRow" fieldPosition="0"/>
    </format>
    <format dxfId="37">
      <pivotArea dataOnly="0" labelOnly="1" fieldPosition="0">
        <references count="1">
          <reference field="2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grandCol="1" outline="0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0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2" type="button" dataOnly="0" labelOnly="1" outline="0" axis="axisRow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G24" sqref="G24"/>
    </sheetView>
  </sheetViews>
  <sheetFormatPr defaultRowHeight="14.4" x14ac:dyDescent="0.3"/>
  <cols>
    <col min="1" max="1" width="13.21875" customWidth="1"/>
    <col min="3" max="3" width="17.33203125" customWidth="1"/>
    <col min="5" max="5" width="11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28</v>
      </c>
      <c r="C2" s="2" t="s">
        <v>7</v>
      </c>
      <c r="D2" s="2">
        <v>39500</v>
      </c>
      <c r="E2" s="2">
        <v>0</v>
      </c>
      <c r="F2" s="2">
        <v>424</v>
      </c>
    </row>
    <row r="3" spans="1:6" x14ac:dyDescent="0.3">
      <c r="A3" s="2" t="s">
        <v>8</v>
      </c>
      <c r="B3" s="2">
        <v>31</v>
      </c>
      <c r="C3" s="2" t="s">
        <v>5</v>
      </c>
      <c r="D3" s="2">
        <v>44250</v>
      </c>
      <c r="E3" s="2">
        <v>1</v>
      </c>
      <c r="F3" s="2">
        <v>561</v>
      </c>
    </row>
    <row r="4" spans="1:6" x14ac:dyDescent="0.3">
      <c r="A4" s="2" t="s">
        <v>9</v>
      </c>
      <c r="B4" s="2">
        <v>34</v>
      </c>
      <c r="C4" s="2" t="s">
        <v>10</v>
      </c>
      <c r="D4" s="2">
        <v>49000</v>
      </c>
      <c r="E4" s="2">
        <v>2</v>
      </c>
      <c r="F4" s="2">
        <v>698</v>
      </c>
    </row>
    <row r="5" spans="1:6" x14ac:dyDescent="0.3">
      <c r="A5" s="2" t="s">
        <v>11</v>
      </c>
      <c r="B5" s="2">
        <v>37</v>
      </c>
      <c r="C5" s="2" t="s">
        <v>12</v>
      </c>
      <c r="D5" s="2">
        <v>53750</v>
      </c>
      <c r="E5" s="2">
        <v>3</v>
      </c>
      <c r="F5" s="2">
        <v>835</v>
      </c>
    </row>
    <row r="6" spans="1:6" x14ac:dyDescent="0.3">
      <c r="A6" s="2" t="s">
        <v>13</v>
      </c>
      <c r="B6" s="2">
        <v>40</v>
      </c>
      <c r="C6" s="2" t="s">
        <v>14</v>
      </c>
      <c r="D6" s="2">
        <v>58500</v>
      </c>
      <c r="E6" s="2">
        <v>4</v>
      </c>
      <c r="F6" s="2">
        <v>972</v>
      </c>
    </row>
    <row r="7" spans="1:6" x14ac:dyDescent="0.3">
      <c r="A7" s="2" t="s">
        <v>15</v>
      </c>
      <c r="B7" s="2">
        <v>24</v>
      </c>
      <c r="C7" s="2" t="s">
        <v>16</v>
      </c>
      <c r="D7" s="2">
        <v>63250</v>
      </c>
      <c r="E7" s="2">
        <v>5</v>
      </c>
      <c r="F7" s="2">
        <v>259</v>
      </c>
    </row>
    <row r="8" spans="1:6" x14ac:dyDescent="0.3">
      <c r="A8" s="2" t="s">
        <v>17</v>
      </c>
      <c r="B8" s="2">
        <v>27</v>
      </c>
      <c r="C8" s="2" t="s">
        <v>7</v>
      </c>
      <c r="D8" s="2">
        <v>68000</v>
      </c>
      <c r="E8" s="2">
        <v>6</v>
      </c>
      <c r="F8" s="2">
        <v>396</v>
      </c>
    </row>
    <row r="9" spans="1:6" x14ac:dyDescent="0.3">
      <c r="A9" s="2" t="s">
        <v>18</v>
      </c>
      <c r="B9" s="2">
        <v>30</v>
      </c>
      <c r="C9" s="2" t="s">
        <v>5</v>
      </c>
      <c r="D9" s="2">
        <v>72750</v>
      </c>
      <c r="E9" s="2">
        <v>7</v>
      </c>
      <c r="F9" s="2">
        <v>533</v>
      </c>
    </row>
    <row r="10" spans="1:6" x14ac:dyDescent="0.3">
      <c r="A10" s="2" t="s">
        <v>19</v>
      </c>
      <c r="B10" s="2">
        <v>33</v>
      </c>
      <c r="C10" s="2" t="s">
        <v>10</v>
      </c>
      <c r="D10" s="2">
        <v>77500</v>
      </c>
      <c r="E10" s="2">
        <v>8</v>
      </c>
      <c r="F10" s="2">
        <v>670</v>
      </c>
    </row>
    <row r="11" spans="1:6" x14ac:dyDescent="0.3">
      <c r="A11" s="2" t="s">
        <v>20</v>
      </c>
      <c r="B11" s="2">
        <v>36</v>
      </c>
      <c r="C11" s="2" t="s">
        <v>12</v>
      </c>
      <c r="D11" s="2">
        <v>82250</v>
      </c>
      <c r="E11" s="2">
        <v>9</v>
      </c>
      <c r="F11" s="2">
        <v>807</v>
      </c>
    </row>
    <row r="12" spans="1:6" x14ac:dyDescent="0.3">
      <c r="A12" s="2" t="s">
        <v>21</v>
      </c>
      <c r="B12" s="2">
        <v>39</v>
      </c>
      <c r="C12" s="2" t="s">
        <v>14</v>
      </c>
      <c r="D12" s="2">
        <v>87000</v>
      </c>
      <c r="E12" s="2">
        <v>10</v>
      </c>
      <c r="F12" s="2">
        <v>944</v>
      </c>
    </row>
    <row r="13" spans="1:6" x14ac:dyDescent="0.3">
      <c r="A13" s="2" t="s">
        <v>22</v>
      </c>
      <c r="B13" s="2">
        <v>23</v>
      </c>
      <c r="C13" s="2" t="s">
        <v>16</v>
      </c>
      <c r="D13" s="2">
        <v>91750</v>
      </c>
      <c r="E13" s="2">
        <v>11</v>
      </c>
      <c r="F13" s="2">
        <v>231</v>
      </c>
    </row>
    <row r="14" spans="1:6" x14ac:dyDescent="0.3">
      <c r="A14" s="2" t="s">
        <v>23</v>
      </c>
      <c r="B14" s="2">
        <v>26</v>
      </c>
      <c r="C14" s="2" t="s">
        <v>7</v>
      </c>
      <c r="D14" s="2">
        <v>96500</v>
      </c>
      <c r="E14" s="2">
        <v>12</v>
      </c>
      <c r="F14" s="2">
        <v>368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BD75-336A-4736-BE01-D183B30541E6}">
  <dimension ref="A2:T43"/>
  <sheetViews>
    <sheetView tabSelected="1" workbookViewId="0">
      <selection activeCell="I27" sqref="I27"/>
    </sheetView>
  </sheetViews>
  <sheetFormatPr defaultRowHeight="14.4" x14ac:dyDescent="0.3"/>
  <cols>
    <col min="2" max="2" width="9.77734375" customWidth="1"/>
    <col min="3" max="3" width="10" customWidth="1"/>
    <col min="4" max="4" width="14.77734375" customWidth="1"/>
    <col min="6" max="6" width="10.109375" customWidth="1"/>
    <col min="7" max="7" width="13.44140625" customWidth="1"/>
    <col min="8" max="8" width="14.21875" customWidth="1"/>
    <col min="9" max="9" width="18.21875" customWidth="1"/>
    <col min="10" max="10" width="12.33203125" bestFit="1" customWidth="1"/>
    <col min="11" max="11" width="16.109375" bestFit="1" customWidth="1"/>
    <col min="12" max="12" width="18" customWidth="1"/>
    <col min="13" max="13" width="16.109375" bestFit="1" customWidth="1"/>
    <col min="14" max="14" width="15.21875" bestFit="1" customWidth="1"/>
    <col min="15" max="15" width="20.88671875" customWidth="1"/>
    <col min="16" max="16" width="10.21875" customWidth="1"/>
    <col min="17" max="17" width="8.77734375" customWidth="1"/>
    <col min="18" max="18" width="10.77734375" bestFit="1" customWidth="1"/>
    <col min="19" max="19" width="11.77734375" customWidth="1"/>
  </cols>
  <sheetData>
    <row r="2" spans="1:20" x14ac:dyDescent="0.3">
      <c r="A2" s="9" t="s">
        <v>53</v>
      </c>
      <c r="B2" s="10" t="s">
        <v>52</v>
      </c>
      <c r="C2" s="10" t="s">
        <v>51</v>
      </c>
      <c r="D2" s="10" t="s">
        <v>50</v>
      </c>
      <c r="E2" s="10" t="s">
        <v>49</v>
      </c>
      <c r="F2" s="10" t="s">
        <v>48</v>
      </c>
      <c r="G2" s="10" t="s">
        <v>47</v>
      </c>
      <c r="H2" s="10" t="s">
        <v>46</v>
      </c>
      <c r="I2" s="10" t="s">
        <v>2</v>
      </c>
      <c r="K2" s="6" t="s">
        <v>44</v>
      </c>
      <c r="L2" s="2" t="s">
        <v>43</v>
      </c>
      <c r="M2" s="2"/>
      <c r="N2" s="6" t="s">
        <v>43</v>
      </c>
      <c r="O2" s="6" t="s">
        <v>45</v>
      </c>
      <c r="P2" s="2"/>
      <c r="Q2" s="2"/>
      <c r="R2" s="2"/>
      <c r="S2" s="2"/>
      <c r="T2" s="2"/>
    </row>
    <row r="3" spans="1:20" x14ac:dyDescent="0.3">
      <c r="A3" s="11">
        <v>1</v>
      </c>
      <c r="B3" s="12">
        <v>46023</v>
      </c>
      <c r="C3" s="13" t="s">
        <v>40</v>
      </c>
      <c r="D3" s="13" t="s">
        <v>39</v>
      </c>
      <c r="E3" s="13" t="s">
        <v>27</v>
      </c>
      <c r="F3" s="13">
        <v>2</v>
      </c>
      <c r="G3" s="13">
        <v>50000</v>
      </c>
      <c r="H3" s="13">
        <v>100000</v>
      </c>
      <c r="I3" s="13" t="s">
        <v>30</v>
      </c>
      <c r="K3" s="2" t="s">
        <v>33</v>
      </c>
      <c r="L3" s="2">
        <v>390000</v>
      </c>
      <c r="M3" s="2"/>
      <c r="N3" s="6" t="s">
        <v>44</v>
      </c>
      <c r="O3" s="2" t="s">
        <v>33</v>
      </c>
      <c r="P3" s="2" t="s">
        <v>40</v>
      </c>
      <c r="Q3" s="2" t="s">
        <v>37</v>
      </c>
      <c r="R3" s="2" t="s">
        <v>29</v>
      </c>
      <c r="S3" s="2" t="s">
        <v>41</v>
      </c>
      <c r="T3" s="2"/>
    </row>
    <row r="4" spans="1:20" x14ac:dyDescent="0.3">
      <c r="A4" s="11">
        <v>2</v>
      </c>
      <c r="B4" s="12">
        <v>46024</v>
      </c>
      <c r="C4" s="13" t="s">
        <v>37</v>
      </c>
      <c r="D4" s="13" t="s">
        <v>36</v>
      </c>
      <c r="E4" s="13" t="s">
        <v>35</v>
      </c>
      <c r="F4" s="13">
        <v>5</v>
      </c>
      <c r="G4" s="13">
        <v>20000</v>
      </c>
      <c r="H4" s="13">
        <v>70000</v>
      </c>
      <c r="I4" s="13" t="s">
        <v>42</v>
      </c>
      <c r="K4" s="2" t="s">
        <v>40</v>
      </c>
      <c r="L4" s="2">
        <v>380000</v>
      </c>
      <c r="M4" s="2"/>
      <c r="N4" s="2" t="s">
        <v>27</v>
      </c>
      <c r="O4" s="2">
        <v>100000</v>
      </c>
      <c r="P4" s="2">
        <v>150000</v>
      </c>
      <c r="Q4" s="2">
        <v>150000</v>
      </c>
      <c r="R4" s="2">
        <v>150000</v>
      </c>
      <c r="S4" s="2">
        <v>550000</v>
      </c>
      <c r="T4" s="2"/>
    </row>
    <row r="5" spans="1:20" x14ac:dyDescent="0.3">
      <c r="A5" s="11">
        <v>3</v>
      </c>
      <c r="B5" s="12">
        <v>46025</v>
      </c>
      <c r="C5" s="13" t="s">
        <v>33</v>
      </c>
      <c r="D5" s="13" t="s">
        <v>32</v>
      </c>
      <c r="E5" s="13" t="s">
        <v>31</v>
      </c>
      <c r="F5" s="13">
        <v>3</v>
      </c>
      <c r="G5" s="13">
        <v>30000</v>
      </c>
      <c r="H5" s="13">
        <v>90000</v>
      </c>
      <c r="I5" s="13" t="s">
        <v>38</v>
      </c>
      <c r="K5" s="2" t="s">
        <v>37</v>
      </c>
      <c r="L5" s="2">
        <v>370000</v>
      </c>
      <c r="M5" s="2"/>
      <c r="N5" s="2" t="s">
        <v>35</v>
      </c>
      <c r="O5" s="2">
        <v>80000</v>
      </c>
      <c r="P5" s="2">
        <v>80000</v>
      </c>
      <c r="Q5" s="2">
        <v>160000</v>
      </c>
      <c r="R5" s="2">
        <v>120000</v>
      </c>
      <c r="S5" s="2">
        <v>440000</v>
      </c>
      <c r="T5" s="2"/>
    </row>
    <row r="6" spans="1:20" x14ac:dyDescent="0.3">
      <c r="A6" s="11">
        <v>4</v>
      </c>
      <c r="B6" s="12">
        <v>46026</v>
      </c>
      <c r="C6" s="13" t="s">
        <v>29</v>
      </c>
      <c r="D6" s="13" t="s">
        <v>28</v>
      </c>
      <c r="E6" s="13" t="s">
        <v>27</v>
      </c>
      <c r="F6" s="13">
        <v>1</v>
      </c>
      <c r="G6" s="13">
        <v>50000</v>
      </c>
      <c r="H6" s="13">
        <v>50000</v>
      </c>
      <c r="I6" s="13" t="s">
        <v>34</v>
      </c>
      <c r="K6" s="2" t="s">
        <v>29</v>
      </c>
      <c r="L6" s="2">
        <v>330000</v>
      </c>
      <c r="M6" s="2"/>
      <c r="N6" s="2" t="s">
        <v>31</v>
      </c>
      <c r="O6" s="2">
        <v>210000</v>
      </c>
      <c r="P6" s="2">
        <v>150000</v>
      </c>
      <c r="Q6" s="2">
        <v>60000</v>
      </c>
      <c r="R6" s="2">
        <v>60000</v>
      </c>
      <c r="S6" s="2">
        <v>480000</v>
      </c>
      <c r="T6" s="2"/>
    </row>
    <row r="7" spans="1:20" x14ac:dyDescent="0.3">
      <c r="A7" s="11">
        <v>5</v>
      </c>
      <c r="B7" s="12">
        <v>46027</v>
      </c>
      <c r="C7" s="13" t="s">
        <v>40</v>
      </c>
      <c r="D7" s="13" t="s">
        <v>39</v>
      </c>
      <c r="E7" s="13" t="s">
        <v>35</v>
      </c>
      <c r="F7" s="13">
        <v>4</v>
      </c>
      <c r="G7" s="13">
        <v>20000</v>
      </c>
      <c r="H7" s="13">
        <v>80000</v>
      </c>
      <c r="I7" s="13" t="s">
        <v>30</v>
      </c>
      <c r="K7" s="2" t="s">
        <v>41</v>
      </c>
      <c r="L7" s="2">
        <v>1470000</v>
      </c>
      <c r="M7" s="2"/>
      <c r="N7" s="2" t="s">
        <v>41</v>
      </c>
      <c r="O7" s="2">
        <v>390000</v>
      </c>
      <c r="P7" s="2">
        <v>380000</v>
      </c>
      <c r="Q7" s="2">
        <v>370000</v>
      </c>
      <c r="R7" s="2">
        <v>330000</v>
      </c>
      <c r="S7" s="2">
        <v>1470000</v>
      </c>
      <c r="T7" s="2"/>
    </row>
    <row r="8" spans="1:20" x14ac:dyDescent="0.3">
      <c r="A8" s="11">
        <v>6</v>
      </c>
      <c r="B8" s="12">
        <v>46028</v>
      </c>
      <c r="C8" s="13" t="s">
        <v>37</v>
      </c>
      <c r="D8" s="13" t="s">
        <v>36</v>
      </c>
      <c r="E8" s="13" t="s">
        <v>31</v>
      </c>
      <c r="F8" s="13">
        <v>2</v>
      </c>
      <c r="G8" s="13">
        <v>30000</v>
      </c>
      <c r="H8" s="13">
        <v>60000</v>
      </c>
      <c r="I8" s="13" t="s">
        <v>26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3">
      <c r="A9" s="11">
        <v>7</v>
      </c>
      <c r="B9" s="12">
        <v>46029</v>
      </c>
      <c r="C9" s="13" t="s">
        <v>33</v>
      </c>
      <c r="D9" s="13" t="s">
        <v>32</v>
      </c>
      <c r="E9" s="13" t="s">
        <v>27</v>
      </c>
      <c r="F9" s="13">
        <v>2</v>
      </c>
      <c r="G9" s="13">
        <v>50000</v>
      </c>
      <c r="H9" s="13">
        <v>55000</v>
      </c>
      <c r="I9" s="13" t="s">
        <v>42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">
      <c r="A10" s="11">
        <v>8</v>
      </c>
      <c r="B10" s="12">
        <v>46030</v>
      </c>
      <c r="C10" s="13" t="s">
        <v>29</v>
      </c>
      <c r="D10" s="13" t="s">
        <v>28</v>
      </c>
      <c r="E10" s="13" t="s">
        <v>35</v>
      </c>
      <c r="F10" s="13">
        <v>6</v>
      </c>
      <c r="G10" s="13">
        <v>20000</v>
      </c>
      <c r="H10" s="13">
        <v>120000</v>
      </c>
      <c r="I10" s="13" t="s">
        <v>38</v>
      </c>
      <c r="K10" s="6" t="s">
        <v>44</v>
      </c>
      <c r="L10" s="2" t="s">
        <v>43</v>
      </c>
      <c r="M10" s="2"/>
      <c r="N10" s="2"/>
      <c r="O10" s="2"/>
      <c r="P10" s="2"/>
      <c r="Q10" s="2"/>
      <c r="R10" s="2"/>
      <c r="S10" s="2"/>
      <c r="T10" s="2"/>
    </row>
    <row r="11" spans="1:20" x14ac:dyDescent="0.3">
      <c r="A11" s="11">
        <v>9</v>
      </c>
      <c r="B11" s="12">
        <v>46031</v>
      </c>
      <c r="C11" s="13" t="s">
        <v>40</v>
      </c>
      <c r="D11" s="13" t="s">
        <v>39</v>
      </c>
      <c r="E11" s="13" t="s">
        <v>31</v>
      </c>
      <c r="F11" s="13">
        <v>5</v>
      </c>
      <c r="G11" s="13">
        <v>30000</v>
      </c>
      <c r="H11" s="13">
        <v>150000</v>
      </c>
      <c r="I11" s="13" t="s">
        <v>34</v>
      </c>
      <c r="K11" s="2" t="s">
        <v>27</v>
      </c>
      <c r="L11" s="2">
        <v>550000</v>
      </c>
      <c r="M11" s="2"/>
      <c r="N11" s="2"/>
      <c r="O11" s="2"/>
      <c r="P11" s="2"/>
      <c r="Q11" s="2"/>
      <c r="R11" s="2"/>
      <c r="S11" s="2"/>
      <c r="T11" s="2"/>
    </row>
    <row r="12" spans="1:20" x14ac:dyDescent="0.3">
      <c r="A12" s="11">
        <v>10</v>
      </c>
      <c r="B12" s="12">
        <v>46032</v>
      </c>
      <c r="C12" s="13" t="s">
        <v>37</v>
      </c>
      <c r="D12" s="13" t="s">
        <v>36</v>
      </c>
      <c r="E12" s="13" t="s">
        <v>27</v>
      </c>
      <c r="F12" s="13">
        <v>3</v>
      </c>
      <c r="G12" s="13">
        <v>50000</v>
      </c>
      <c r="H12" s="13">
        <v>30000</v>
      </c>
      <c r="I12" s="13" t="s">
        <v>30</v>
      </c>
      <c r="K12" s="2" t="s">
        <v>35</v>
      </c>
      <c r="L12" s="2">
        <v>440000</v>
      </c>
      <c r="M12" s="2"/>
      <c r="N12" s="2"/>
      <c r="O12" s="2"/>
      <c r="P12" s="2"/>
      <c r="Q12" s="2"/>
      <c r="R12" s="2"/>
      <c r="S12" s="2"/>
      <c r="T12" s="2"/>
    </row>
    <row r="13" spans="1:20" x14ac:dyDescent="0.3">
      <c r="A13" s="11">
        <v>11</v>
      </c>
      <c r="B13" s="12">
        <v>46033</v>
      </c>
      <c r="C13" s="13" t="s">
        <v>33</v>
      </c>
      <c r="D13" s="13" t="s">
        <v>32</v>
      </c>
      <c r="E13" s="13" t="s">
        <v>35</v>
      </c>
      <c r="F13" s="13">
        <v>4</v>
      </c>
      <c r="G13" s="13">
        <v>20000</v>
      </c>
      <c r="H13" s="13">
        <v>85000</v>
      </c>
      <c r="I13" s="13" t="s">
        <v>26</v>
      </c>
      <c r="K13" s="2" t="s">
        <v>31</v>
      </c>
      <c r="L13" s="2">
        <v>480000</v>
      </c>
      <c r="M13" s="2"/>
      <c r="N13" s="2"/>
      <c r="O13" s="2"/>
      <c r="P13" s="2"/>
      <c r="Q13" s="2"/>
      <c r="R13" s="2"/>
      <c r="S13" s="2"/>
      <c r="T13" s="2"/>
    </row>
    <row r="14" spans="1:20" x14ac:dyDescent="0.3">
      <c r="A14" s="11">
        <v>12</v>
      </c>
      <c r="B14" s="12">
        <v>46034</v>
      </c>
      <c r="C14" s="13" t="s">
        <v>29</v>
      </c>
      <c r="D14" s="13" t="s">
        <v>28</v>
      </c>
      <c r="E14" s="13" t="s">
        <v>31</v>
      </c>
      <c r="F14" s="13">
        <v>2</v>
      </c>
      <c r="G14" s="13">
        <v>30000</v>
      </c>
      <c r="H14" s="13">
        <v>67000</v>
      </c>
      <c r="I14" s="13" t="s">
        <v>42</v>
      </c>
      <c r="K14" s="2" t="s">
        <v>41</v>
      </c>
      <c r="L14" s="2">
        <v>1470000</v>
      </c>
      <c r="M14" s="2"/>
      <c r="N14" s="2"/>
      <c r="O14" s="2"/>
      <c r="P14" s="2"/>
      <c r="Q14" s="2"/>
      <c r="R14" s="2"/>
      <c r="S14" s="2"/>
      <c r="T14" s="2"/>
    </row>
    <row r="15" spans="1:20" x14ac:dyDescent="0.3">
      <c r="A15" s="11">
        <v>13</v>
      </c>
      <c r="B15" s="12">
        <v>46035</v>
      </c>
      <c r="C15" s="13" t="s">
        <v>40</v>
      </c>
      <c r="D15" s="13" t="s">
        <v>39</v>
      </c>
      <c r="E15" s="13" t="s">
        <v>27</v>
      </c>
      <c r="F15" s="13">
        <v>1</v>
      </c>
      <c r="G15" s="13">
        <v>50000</v>
      </c>
      <c r="H15" s="13">
        <v>50000</v>
      </c>
      <c r="I15" s="13" t="s">
        <v>38</v>
      </c>
    </row>
    <row r="16" spans="1:20" x14ac:dyDescent="0.3">
      <c r="A16" s="11">
        <v>14</v>
      </c>
      <c r="B16" s="12">
        <v>46036</v>
      </c>
      <c r="C16" s="13" t="s">
        <v>37</v>
      </c>
      <c r="D16" s="13" t="s">
        <v>36</v>
      </c>
      <c r="E16" s="13" t="s">
        <v>35</v>
      </c>
      <c r="F16" s="13">
        <v>3</v>
      </c>
      <c r="G16" s="13">
        <v>20000</v>
      </c>
      <c r="H16" s="13">
        <v>87000</v>
      </c>
      <c r="I16" s="13" t="s">
        <v>34</v>
      </c>
    </row>
    <row r="17" spans="1:9" x14ac:dyDescent="0.3">
      <c r="A17" s="11">
        <v>15</v>
      </c>
      <c r="B17" s="12">
        <v>46037</v>
      </c>
      <c r="C17" s="13" t="s">
        <v>33</v>
      </c>
      <c r="D17" s="13" t="s">
        <v>32</v>
      </c>
      <c r="E17" s="13" t="s">
        <v>31</v>
      </c>
      <c r="F17" s="13">
        <v>4</v>
      </c>
      <c r="G17" s="13">
        <v>30000</v>
      </c>
      <c r="H17" s="13">
        <v>13500</v>
      </c>
      <c r="I17" s="13" t="s">
        <v>30</v>
      </c>
    </row>
    <row r="18" spans="1:9" x14ac:dyDescent="0.3">
      <c r="A18" s="11">
        <v>16</v>
      </c>
      <c r="B18" s="12">
        <v>46038</v>
      </c>
      <c r="C18" s="13" t="s">
        <v>29</v>
      </c>
      <c r="D18" s="13" t="s">
        <v>28</v>
      </c>
      <c r="E18" s="13" t="s">
        <v>27</v>
      </c>
      <c r="F18" s="13">
        <v>2</v>
      </c>
      <c r="G18" s="13">
        <v>50000</v>
      </c>
      <c r="H18" s="13">
        <v>94000</v>
      </c>
      <c r="I18" s="13" t="s">
        <v>26</v>
      </c>
    </row>
    <row r="21" spans="1:9" x14ac:dyDescent="0.3">
      <c r="B21" s="7" t="s">
        <v>25</v>
      </c>
      <c r="C21" s="7"/>
      <c r="D21" s="7"/>
      <c r="E21" s="7"/>
      <c r="F21" s="5">
        <f>COUNTIF(C2:C18, "EAST")</f>
        <v>4</v>
      </c>
    </row>
    <row r="23" spans="1:9" x14ac:dyDescent="0.3">
      <c r="B23" s="8" t="s">
        <v>24</v>
      </c>
      <c r="C23" s="8"/>
      <c r="D23" s="5">
        <f>COUNT(F2:F18)</f>
        <v>16</v>
      </c>
    </row>
    <row r="27" spans="1:9" x14ac:dyDescent="0.3">
      <c r="C27" s="4"/>
    </row>
    <row r="28" spans="1:9" x14ac:dyDescent="0.3">
      <c r="C28" s="3"/>
    </row>
    <row r="29" spans="1:9" x14ac:dyDescent="0.3">
      <c r="C29" s="3"/>
    </row>
    <row r="30" spans="1:9" x14ac:dyDescent="0.3">
      <c r="C30" s="3"/>
    </row>
    <row r="31" spans="1:9" x14ac:dyDescent="0.3">
      <c r="C31" s="3"/>
    </row>
    <row r="32" spans="1:9" x14ac:dyDescent="0.3">
      <c r="C32" s="3"/>
    </row>
    <row r="33" spans="3:3" x14ac:dyDescent="0.3">
      <c r="C33" s="3"/>
    </row>
    <row r="34" spans="3:3" x14ac:dyDescent="0.3">
      <c r="C34" s="3"/>
    </row>
    <row r="35" spans="3:3" x14ac:dyDescent="0.3">
      <c r="C35" s="3"/>
    </row>
    <row r="36" spans="3:3" x14ac:dyDescent="0.3">
      <c r="C36" s="3"/>
    </row>
    <row r="37" spans="3:3" x14ac:dyDescent="0.3">
      <c r="C37" s="3"/>
    </row>
    <row r="38" spans="3:3" x14ac:dyDescent="0.3">
      <c r="C38" s="3"/>
    </row>
    <row r="39" spans="3:3" x14ac:dyDescent="0.3">
      <c r="C39" s="3"/>
    </row>
    <row r="40" spans="3:3" x14ac:dyDescent="0.3">
      <c r="C40" s="3"/>
    </row>
    <row r="41" spans="3:3" x14ac:dyDescent="0.3">
      <c r="C41" s="3"/>
    </row>
    <row r="42" spans="3:3" x14ac:dyDescent="0.3">
      <c r="C42" s="3"/>
    </row>
    <row r="43" spans="3:3" x14ac:dyDescent="0.3">
      <c r="C43" s="3"/>
    </row>
  </sheetData>
  <mergeCells count="2">
    <mergeCell ref="B21:E21"/>
    <mergeCell ref="B23:C23"/>
  </mergeCell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Raj Aghara Ashok aghara</cp:lastModifiedBy>
  <dcterms:created xsi:type="dcterms:W3CDTF">2015-06-05T18:17:20Z</dcterms:created>
  <dcterms:modified xsi:type="dcterms:W3CDTF">2026-09-25T06:08:51Z</dcterms:modified>
</cp:coreProperties>
</file>