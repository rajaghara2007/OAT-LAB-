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oat submission\LAB 8\"/>
    </mc:Choice>
  </mc:AlternateContent>
  <xr:revisionPtr revIDLastSave="0" documentId="13_ncr:1_{81D27A96-AF70-4BFB-A2C0-DC82A475AEA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P3" i="1"/>
  <c r="Q3" i="1" s="1"/>
  <c r="P4" i="1"/>
  <c r="P5" i="1"/>
  <c r="P6" i="1"/>
  <c r="Q6" i="1" s="1"/>
  <c r="P7" i="1"/>
  <c r="Q7" i="1" s="1"/>
  <c r="P8" i="1"/>
  <c r="P9" i="1"/>
  <c r="Q9" i="1" s="1"/>
  <c r="P10" i="1"/>
  <c r="Q10" i="1" s="1"/>
  <c r="P11" i="1"/>
  <c r="Q11" i="1" s="1"/>
  <c r="P12" i="1"/>
  <c r="P13" i="1"/>
  <c r="P14" i="1"/>
  <c r="P15" i="1"/>
  <c r="Q15" i="1" s="1"/>
  <c r="P16" i="1"/>
  <c r="Q16" i="1" s="1"/>
  <c r="P17" i="1"/>
  <c r="Q17" i="1" s="1"/>
  <c r="Q4" i="1"/>
  <c r="Q8" i="1"/>
  <c r="Q12" i="1"/>
  <c r="Q13" i="1"/>
  <c r="Q5" i="1"/>
  <c r="Q14" i="1"/>
  <c r="K3" i="1"/>
  <c r="N3" i="1" s="1"/>
  <c r="K4" i="1"/>
  <c r="N4" i="1" s="1"/>
  <c r="K5" i="1"/>
  <c r="N5" i="1" s="1"/>
  <c r="K6" i="1"/>
  <c r="N6" i="1" s="1"/>
  <c r="K7" i="1"/>
  <c r="N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7" i="1"/>
  <c r="N17" i="1" s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I8" i="1"/>
  <c r="I4" i="1"/>
  <c r="I5" i="1"/>
  <c r="I6" i="1"/>
  <c r="I7" i="1"/>
  <c r="I9" i="1"/>
  <c r="I10" i="1"/>
  <c r="I11" i="1"/>
  <c r="I12" i="1"/>
  <c r="I13" i="1"/>
  <c r="I14" i="1"/>
  <c r="I15" i="1"/>
  <c r="I16" i="1"/>
  <c r="I17" i="1"/>
  <c r="I3" i="1"/>
</calcChain>
</file>

<file path=xl/sharedStrings.xml><?xml version="1.0" encoding="utf-8"?>
<sst xmlns="http://schemas.openxmlformats.org/spreadsheetml/2006/main" count="50" uniqueCount="50">
  <si>
    <t>Roll No</t>
  </si>
  <si>
    <t>Age</t>
  </si>
  <si>
    <t>Math</t>
  </si>
  <si>
    <t>Science</t>
  </si>
  <si>
    <t>English</t>
  </si>
  <si>
    <t>Computer</t>
  </si>
  <si>
    <t xml:space="preserve"> Student Name</t>
  </si>
  <si>
    <t>Total Obtained Marks</t>
  </si>
  <si>
    <t>AVERAGE</t>
  </si>
  <si>
    <t>UPPERCASE</t>
  </si>
  <si>
    <t>MAX</t>
  </si>
  <si>
    <t>MIN</t>
  </si>
  <si>
    <t>LOWERCASE</t>
  </si>
  <si>
    <t>FINAL_EXAMINATION_RESULTS</t>
  </si>
  <si>
    <t>Total_Students = 15</t>
  </si>
  <si>
    <t>COUNTIF</t>
  </si>
  <si>
    <t>CONCATENATE</t>
  </si>
  <si>
    <t>TRIM</t>
  </si>
  <si>
    <t>PROPER</t>
  </si>
  <si>
    <t>Column1</t>
  </si>
  <si>
    <t>Diya</t>
  </si>
  <si>
    <t>Shah</t>
  </si>
  <si>
    <t>Krish</t>
  </si>
  <si>
    <t>Mehta</t>
  </si>
  <si>
    <t>Riya</t>
  </si>
  <si>
    <t>Joshi</t>
  </si>
  <si>
    <t>Vivaan</t>
  </si>
  <si>
    <t>Desai</t>
  </si>
  <si>
    <t>Anaya</t>
  </si>
  <si>
    <t>Kapoor</t>
  </si>
  <si>
    <t>Arjun</t>
  </si>
  <si>
    <t>Verma</t>
  </si>
  <si>
    <t>Meera</t>
  </si>
  <si>
    <t>Nair</t>
  </si>
  <si>
    <t>Kabir</t>
  </si>
  <si>
    <t>Singh</t>
  </si>
  <si>
    <t>Siya</t>
  </si>
  <si>
    <t>Sharma</t>
  </si>
  <si>
    <t>Yash</t>
  </si>
  <si>
    <t>Gupta</t>
  </si>
  <si>
    <t>Ishita</t>
  </si>
  <si>
    <t>Rao</t>
  </si>
  <si>
    <t>Dev</t>
  </si>
  <si>
    <t>Malhotra</t>
  </si>
  <si>
    <t>Nisha</t>
  </si>
  <si>
    <t>Iyer</t>
  </si>
  <si>
    <t>Rahul</t>
  </si>
  <si>
    <t>Choudhary</t>
  </si>
  <si>
    <t>aarav</t>
  </si>
  <si>
    <t xml:space="preserve">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</si>
</sst>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26"/>
      <color theme="1"/>
      <name val="Corbel"/>
      <family val="2"/>
      <scheme val="minor"/>
    </font>
    <font>
      <b/>
      <sz val="12"/>
      <color theme="5" tint="0.59999389629810485"/>
      <name val="Corbel"/>
      <family val="2"/>
      <scheme val="minor"/>
    </font>
    <font>
      <sz val="11"/>
      <color theme="5" tint="0.59999389629810485"/>
      <name val="Corbe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0"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numFmt numFmtId="0" formatCode="General"/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numFmt numFmtId="0" formatCode="General"/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numFmt numFmtId="0" formatCode="General"/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numFmt numFmtId="0" formatCode="General"/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5" tint="0.59999389629810485"/>
        <name val="Corbe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15388-9577-4CEB-B35A-6E541C0E0BC8}" name="Table1" displayName="Table1" ref="A2:R17" totalsRowShown="0" headerRowDxfId="1" dataDxfId="0">
  <autoFilter ref="A2:R17" xr:uid="{109EAC09-18DE-4CC8-808C-09E46572BC60}"/>
  <tableColumns count="18">
    <tableColumn id="1" xr3:uid="{44AB12B7-ABE3-4AF3-A897-B323C911DEA5}" name="Roll No" dataDxfId="19"/>
    <tableColumn id="2" xr3:uid="{8E0873F1-4B8B-46FD-BACA-4A006E4D7214}" name=" Student Name" dataDxfId="18"/>
    <tableColumn id="18" xr3:uid="{2282D1F6-006C-4A0C-BDA6-7BAB2FB07FB2}" name="Column1" dataDxfId="17"/>
    <tableColumn id="3" xr3:uid="{BF086BF7-1138-424C-B97C-1A110E1E2B50}" name="Math" dataDxfId="16"/>
    <tableColumn id="4" xr3:uid="{5BF052C2-46C0-4D45-AE7A-BF3D59F5584E}" name="Science" dataDxfId="15"/>
    <tableColumn id="5" xr3:uid="{41AD186F-7A79-4EC2-88EE-BE96C004610E}" name="English" dataDxfId="14"/>
    <tableColumn id="6" xr3:uid="{6E858079-F7E5-4B00-9065-77DBEC9ED705}" name="Computer" dataDxfId="13"/>
    <tableColumn id="7" xr3:uid="{E45137EF-3A1F-479A-9F22-8C51DA81E228}" name="Age" dataDxfId="12"/>
    <tableColumn id="8" xr3:uid="{E78F2EF8-9387-4D72-8EB0-28F56D062F21}" name="Total Obtained Marks" dataDxfId="11">
      <calculatedColumnFormula>SUM(D3:G3)</calculatedColumnFormula>
    </tableColumn>
    <tableColumn id="9" xr3:uid="{49E3BF03-46E9-41C3-97B8-8770FACC3471}" name="AVERAGE" dataDxfId="10" dataCellStyle="Percent">
      <calculatedColumnFormula>AVERAGE(D3:G3)/100</calculatedColumnFormula>
    </tableColumn>
    <tableColumn id="10" xr3:uid="{F32ECB23-C5E7-4681-B00A-1EA1E08C810F}" name="UPPERCASE" dataDxfId="9">
      <calculatedColumnFormula>UPPER(B3)</calculatedColumnFormula>
    </tableColumn>
    <tableColumn id="11" xr3:uid="{955D3DC4-2DFF-430E-BFE6-FB0F34126D2A}" name="MAX" dataDxfId="8">
      <calculatedColumnFormula>MAX(D3:G3)</calculatedColumnFormula>
    </tableColumn>
    <tableColumn id="12" xr3:uid="{4647FED8-3351-4952-B78E-1D4A2A904BF7}" name="MIN" dataDxfId="7">
      <calculatedColumnFormula>MIN(D3:G3)</calculatedColumnFormula>
    </tableColumn>
    <tableColumn id="13" xr3:uid="{25BC333D-351C-4319-9F29-9E9BBA61BAB7}" name="LOWERCASE" dataDxfId="6">
      <calculatedColumnFormula>LOWER(K3)</calculatedColumnFormula>
    </tableColumn>
    <tableColumn id="14" xr3:uid="{6EAD987E-34BB-416F-A151-29F2A15C0DDF}" name="COUNTIF" dataDxfId="5">
      <calculatedColumnFormula>COUNTIF(Table1[Computer], "&gt;80")</calculatedColumnFormula>
    </tableColumn>
    <tableColumn id="15" xr3:uid="{0FA4101B-EC6A-4421-9A22-45FAE3134888}" name="CONCATENATE" dataDxfId="4">
      <calculatedColumnFormula>CONCATENATE(Table1[[#This Row],[ Student Name]],"       ",Table1[[#This Row],[Column1]])</calculatedColumnFormula>
    </tableColumn>
    <tableColumn id="16" xr3:uid="{2800E2E4-556F-4B3E-A6A4-CE2A89A552B8}" name="TRIM" dataDxfId="3">
      <calculatedColumnFormula>TRIM(Table1[[#This Row],[CONCATENATE]])</calculatedColumnFormula>
    </tableColumn>
    <tableColumn id="17" xr3:uid="{512AC8DD-2065-4167-874A-04D23B1349EE}" name="PROPER" dataDxfId="2">
      <calculatedColumnFormula>PROPER(Table1[[#This Row],[ Student Name]])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Depth">
  <a:themeElements>
    <a:clrScheme name="Depth">
      <a:dk1>
        <a:sysClr val="windowText" lastClr="000000"/>
      </a:dk1>
      <a:lt1>
        <a:sysClr val="window" lastClr="FFFFFF"/>
      </a:lt1>
      <a:dk2>
        <a:srgbClr val="455F51"/>
      </a:dk2>
      <a:lt2>
        <a:srgbClr val="94D7E4"/>
      </a:lt2>
      <a:accent1>
        <a:srgbClr val="41AEBD"/>
      </a:accent1>
      <a:accent2>
        <a:srgbClr val="97E9D5"/>
      </a:accent2>
      <a:accent3>
        <a:srgbClr val="A2CF49"/>
      </a:accent3>
      <a:accent4>
        <a:srgbClr val="608F3D"/>
      </a:accent4>
      <a:accent5>
        <a:srgbClr val="F4DE3A"/>
      </a:accent5>
      <a:accent6>
        <a:srgbClr val="FCB11C"/>
      </a:accent6>
      <a:hlink>
        <a:srgbClr val="FBCA98"/>
      </a:hlink>
      <a:folHlink>
        <a:srgbClr val="D3B86D"/>
      </a:folHlink>
    </a:clrScheme>
    <a:fontScheme name="Depth">
      <a:majorFont>
        <a:latin typeface="Corbel" panose="020B0503020204020204"/>
        <a:ea typeface=""/>
        <a:cs typeface=""/>
        <a:font script="Jpan" typeface="メイリオ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メイリオ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zoomScale="86" zoomScaleNormal="175" zoomScalePageLayoutView="69" workbookViewId="0">
      <pane ySplit="1" topLeftCell="A2" activePane="bottomLeft" state="frozen"/>
      <selection pane="bottomLeft" activeCell="G27" sqref="G27"/>
    </sheetView>
  </sheetViews>
  <sheetFormatPr defaultRowHeight="14.4" x14ac:dyDescent="0.3"/>
  <cols>
    <col min="1" max="1" width="9.5546875" customWidth="1"/>
    <col min="2" max="2" width="17.33203125" customWidth="1"/>
    <col min="3" max="3" width="13.6640625" customWidth="1"/>
    <col min="4" max="4" width="13.44140625" customWidth="1"/>
    <col min="5" max="5" width="13.6640625" customWidth="1"/>
    <col min="6" max="6" width="13.5546875" customWidth="1"/>
    <col min="7" max="7" width="13.6640625" customWidth="1"/>
    <col min="8" max="8" width="21.109375" customWidth="1"/>
    <col min="9" max="9" width="13.6640625" customWidth="1"/>
    <col min="10" max="10" width="18.6640625" customWidth="1"/>
    <col min="13" max="13" width="18.77734375" customWidth="1"/>
    <col min="14" max="14" width="17.44140625" customWidth="1"/>
    <col min="15" max="15" width="19.44140625" customWidth="1"/>
    <col min="16" max="16" width="17.21875" customWidth="1"/>
    <col min="17" max="18" width="17.44140625" customWidth="1"/>
  </cols>
  <sheetData>
    <row r="1" spans="1:18" ht="33.6" x14ac:dyDescent="0.3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8" ht="46.8" x14ac:dyDescent="0.3">
      <c r="A2" s="3" t="s">
        <v>0</v>
      </c>
      <c r="B2" s="3" t="s">
        <v>6</v>
      </c>
      <c r="C2" s="3" t="s">
        <v>19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1</v>
      </c>
      <c r="I2" s="3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15</v>
      </c>
      <c r="P2" s="4" t="s">
        <v>16</v>
      </c>
      <c r="Q2" s="4" t="s">
        <v>17</v>
      </c>
      <c r="R2" s="4" t="s">
        <v>18</v>
      </c>
    </row>
    <row r="3" spans="1:18" x14ac:dyDescent="0.3">
      <c r="A3" s="5">
        <v>101</v>
      </c>
      <c r="B3" s="6" t="s">
        <v>48</v>
      </c>
      <c r="C3" s="6" t="s">
        <v>49</v>
      </c>
      <c r="D3" s="5">
        <v>85</v>
      </c>
      <c r="E3" s="5">
        <v>78</v>
      </c>
      <c r="F3" s="5">
        <v>88</v>
      </c>
      <c r="G3" s="5">
        <v>91</v>
      </c>
      <c r="H3" s="5">
        <v>18</v>
      </c>
      <c r="I3" s="7">
        <f>SUM(D3:G3)</f>
        <v>342</v>
      </c>
      <c r="J3" s="8">
        <f>AVERAGE(D3:G3)/100</f>
        <v>0.85499999999999998</v>
      </c>
      <c r="K3" s="9" t="str">
        <f t="shared" ref="K3:K17" si="0">UPPER(B3)</f>
        <v>AARAV</v>
      </c>
      <c r="L3" s="9">
        <f>MAX(D3:G3)</f>
        <v>91</v>
      </c>
      <c r="M3" s="9">
        <f>MIN(D3:G3)</f>
        <v>78</v>
      </c>
      <c r="N3" s="9" t="str">
        <f t="shared" ref="N3:N17" si="1">LOWER(K3)</f>
        <v>aarav</v>
      </c>
      <c r="O3" s="9">
        <f>COUNTIF(Table1[Computer], "&gt;80")</f>
        <v>11</v>
      </c>
      <c r="P3" s="9" t="str">
        <f>CONCATENATE(Table1[[#This Row],[ Student Name]],"       ",Table1[[#This Row],[Column1]])</f>
        <v>aarav        patel</v>
      </c>
      <c r="Q3" s="9" t="str">
        <f>TRIM(Table1[[#This Row],[CONCATENATE]])</f>
        <v>aarav patel</v>
      </c>
      <c r="R3" s="9" t="str">
        <f>PROPER(Table1[[#This Row],[ Student Name]])</f>
        <v>Aarav</v>
      </c>
    </row>
    <row r="4" spans="1:18" x14ac:dyDescent="0.3">
      <c r="A4" s="5">
        <v>102</v>
      </c>
      <c r="B4" s="6" t="s">
        <v>20</v>
      </c>
      <c r="C4" s="6" t="s">
        <v>21</v>
      </c>
      <c r="D4" s="5">
        <v>92</v>
      </c>
      <c r="E4" s="5">
        <v>89</v>
      </c>
      <c r="F4" s="5">
        <v>84</v>
      </c>
      <c r="G4" s="5">
        <v>95</v>
      </c>
      <c r="H4" s="5">
        <v>19</v>
      </c>
      <c r="I4" s="7">
        <f t="shared" ref="I4:I17" si="2">SUM(D4:G4)</f>
        <v>360</v>
      </c>
      <c r="J4" s="8">
        <f t="shared" ref="J4:J17" si="3">AVERAGE(D4:G4)/100</f>
        <v>0.9</v>
      </c>
      <c r="K4" s="9" t="str">
        <f t="shared" si="0"/>
        <v>DIYA</v>
      </c>
      <c r="L4" s="9">
        <f t="shared" ref="L4:L17" si="4">MAX(D4:G4)</f>
        <v>95</v>
      </c>
      <c r="M4" s="9">
        <f t="shared" ref="M4:M17" si="5">MIN(D4:G4)</f>
        <v>84</v>
      </c>
      <c r="N4" s="9" t="str">
        <f t="shared" si="1"/>
        <v>diya</v>
      </c>
      <c r="O4" s="9">
        <f>COUNTIF(Table1[Computer], "&gt;80")</f>
        <v>11</v>
      </c>
      <c r="P4" s="9" t="str">
        <f>CONCATENATE(Table1[[#This Row],[ Student Name]],"       ",Table1[[#This Row],[Column1]])</f>
        <v>Diya       Shah</v>
      </c>
      <c r="Q4" s="9" t="str">
        <f>TRIM(Table1[[#This Row],[CONCATENATE]])</f>
        <v>Diya Shah</v>
      </c>
      <c r="R4" s="9" t="str">
        <f>PROPER(Table1[[#This Row],[ Student Name]])</f>
        <v>Diya</v>
      </c>
    </row>
    <row r="5" spans="1:18" x14ac:dyDescent="0.3">
      <c r="A5" s="5">
        <v>103</v>
      </c>
      <c r="B5" s="6" t="s">
        <v>22</v>
      </c>
      <c r="C5" s="6" t="s">
        <v>23</v>
      </c>
      <c r="D5" s="5">
        <v>76</v>
      </c>
      <c r="E5" s="5">
        <v>81</v>
      </c>
      <c r="F5" s="5">
        <v>79</v>
      </c>
      <c r="G5" s="5">
        <v>83</v>
      </c>
      <c r="H5" s="5">
        <v>18</v>
      </c>
      <c r="I5" s="7">
        <f t="shared" si="2"/>
        <v>319</v>
      </c>
      <c r="J5" s="8">
        <f t="shared" si="3"/>
        <v>0.79749999999999999</v>
      </c>
      <c r="K5" s="9" t="str">
        <f t="shared" si="0"/>
        <v>KRISH</v>
      </c>
      <c r="L5" s="9">
        <f t="shared" si="4"/>
        <v>83</v>
      </c>
      <c r="M5" s="9">
        <f t="shared" si="5"/>
        <v>76</v>
      </c>
      <c r="N5" s="9" t="str">
        <f t="shared" si="1"/>
        <v>krish</v>
      </c>
      <c r="O5" s="9">
        <f>COUNTIF(Table1[Computer], "&gt;80")</f>
        <v>11</v>
      </c>
      <c r="P5" s="9" t="str">
        <f>CONCATENATE(Table1[[#This Row],[ Student Name]],"       ",Table1[[#This Row],[Column1]])</f>
        <v>Krish       Mehta</v>
      </c>
      <c r="Q5" s="9" t="str">
        <f>TRIM(Table1[[#This Row],[CONCATENATE]])</f>
        <v>Krish Mehta</v>
      </c>
      <c r="R5" s="9" t="str">
        <f>PROPER(Table1[[#This Row],[ Student Name]])</f>
        <v>Krish</v>
      </c>
    </row>
    <row r="6" spans="1:18" x14ac:dyDescent="0.3">
      <c r="A6" s="5">
        <v>104</v>
      </c>
      <c r="B6" s="6" t="s">
        <v>24</v>
      </c>
      <c r="C6" s="6" t="s">
        <v>25</v>
      </c>
      <c r="D6" s="5">
        <v>88</v>
      </c>
      <c r="E6" s="5">
        <v>90</v>
      </c>
      <c r="F6" s="5">
        <v>91</v>
      </c>
      <c r="G6" s="5">
        <v>87</v>
      </c>
      <c r="H6" s="5">
        <v>20</v>
      </c>
      <c r="I6" s="7">
        <f t="shared" si="2"/>
        <v>356</v>
      </c>
      <c r="J6" s="8">
        <f t="shared" si="3"/>
        <v>0.89</v>
      </c>
      <c r="K6" s="9" t="str">
        <f t="shared" si="0"/>
        <v>RIYA</v>
      </c>
      <c r="L6" s="9">
        <f t="shared" si="4"/>
        <v>91</v>
      </c>
      <c r="M6" s="9">
        <f t="shared" si="5"/>
        <v>87</v>
      </c>
      <c r="N6" s="9" t="str">
        <f t="shared" si="1"/>
        <v>riya</v>
      </c>
      <c r="O6" s="9">
        <f>COUNTIF(Table1[Computer], "&gt;80")</f>
        <v>11</v>
      </c>
      <c r="P6" s="9" t="str">
        <f>CONCATENATE(Table1[[#This Row],[ Student Name]],"       ",Table1[[#This Row],[Column1]])</f>
        <v>Riya       Joshi</v>
      </c>
      <c r="Q6" s="9" t="str">
        <f>TRIM(Table1[[#This Row],[CONCATENATE]])</f>
        <v>Riya Joshi</v>
      </c>
      <c r="R6" s="9" t="str">
        <f>PROPER(Table1[[#This Row],[ Student Name]])</f>
        <v>Riya</v>
      </c>
    </row>
    <row r="7" spans="1:18" x14ac:dyDescent="0.3">
      <c r="A7" s="5">
        <v>105</v>
      </c>
      <c r="B7" s="6" t="s">
        <v>26</v>
      </c>
      <c r="C7" s="6" t="s">
        <v>27</v>
      </c>
      <c r="D7" s="5">
        <v>69</v>
      </c>
      <c r="E7" s="5">
        <v>74</v>
      </c>
      <c r="F7" s="5">
        <v>72</v>
      </c>
      <c r="G7" s="5">
        <v>80</v>
      </c>
      <c r="H7" s="5">
        <v>19</v>
      </c>
      <c r="I7" s="7">
        <f t="shared" si="2"/>
        <v>295</v>
      </c>
      <c r="J7" s="8">
        <f t="shared" si="3"/>
        <v>0.73750000000000004</v>
      </c>
      <c r="K7" s="9" t="str">
        <f t="shared" si="0"/>
        <v>VIVAAN</v>
      </c>
      <c r="L7" s="9">
        <f t="shared" si="4"/>
        <v>80</v>
      </c>
      <c r="M7" s="9">
        <f t="shared" si="5"/>
        <v>69</v>
      </c>
      <c r="N7" s="9" t="str">
        <f t="shared" si="1"/>
        <v>vivaan</v>
      </c>
      <c r="O7" s="9">
        <f>COUNTIF(Table1[Computer], "&gt;80")</f>
        <v>11</v>
      </c>
      <c r="P7" s="9" t="str">
        <f>CONCATENATE(Table1[[#This Row],[ Student Name]],"       ",Table1[[#This Row],[Column1]])</f>
        <v>Vivaan       Desai</v>
      </c>
      <c r="Q7" s="9" t="str">
        <f>TRIM(Table1[[#This Row],[CONCATENATE]])</f>
        <v>Vivaan Desai</v>
      </c>
      <c r="R7" s="9" t="str">
        <f>PROPER(Table1[[#This Row],[ Student Name]])</f>
        <v>Vivaan</v>
      </c>
    </row>
    <row r="8" spans="1:18" x14ac:dyDescent="0.3">
      <c r="A8" s="5">
        <v>106</v>
      </c>
      <c r="B8" s="6" t="s">
        <v>28</v>
      </c>
      <c r="C8" s="6" t="s">
        <v>29</v>
      </c>
      <c r="D8" s="5">
        <v>95</v>
      </c>
      <c r="E8" s="5">
        <v>93</v>
      </c>
      <c r="F8" s="5">
        <v>90</v>
      </c>
      <c r="G8" s="5">
        <v>98</v>
      </c>
      <c r="H8" s="5">
        <v>18</v>
      </c>
      <c r="I8" s="7">
        <f t="shared" si="2"/>
        <v>376</v>
      </c>
      <c r="J8" s="8">
        <f t="shared" si="3"/>
        <v>0.94</v>
      </c>
      <c r="K8" s="9" t="str">
        <f t="shared" si="0"/>
        <v>ANAYA</v>
      </c>
      <c r="L8" s="9">
        <f t="shared" si="4"/>
        <v>98</v>
      </c>
      <c r="M8" s="9">
        <f t="shared" si="5"/>
        <v>90</v>
      </c>
      <c r="N8" s="9" t="str">
        <f t="shared" si="1"/>
        <v>anaya</v>
      </c>
      <c r="O8" s="9">
        <f>COUNTIF(Table1[Computer], "&gt;80")</f>
        <v>11</v>
      </c>
      <c r="P8" s="9" t="str">
        <f>CONCATENATE(Table1[[#This Row],[ Student Name]],"       ",Table1[[#This Row],[Column1]])</f>
        <v>Anaya       Kapoor</v>
      </c>
      <c r="Q8" s="9" t="str">
        <f>TRIM(Table1[[#This Row],[CONCATENATE]])</f>
        <v>Anaya Kapoor</v>
      </c>
      <c r="R8" s="9" t="str">
        <f>PROPER(Table1[[#This Row],[ Student Name]])</f>
        <v>Anaya</v>
      </c>
    </row>
    <row r="9" spans="1:18" x14ac:dyDescent="0.3">
      <c r="A9" s="5">
        <v>107</v>
      </c>
      <c r="B9" s="6" t="s">
        <v>30</v>
      </c>
      <c r="C9" s="6" t="s">
        <v>31</v>
      </c>
      <c r="D9" s="5">
        <v>81</v>
      </c>
      <c r="E9" s="5">
        <v>77</v>
      </c>
      <c r="F9" s="5">
        <v>85</v>
      </c>
      <c r="G9" s="5">
        <v>79</v>
      </c>
      <c r="H9" s="5">
        <v>20</v>
      </c>
      <c r="I9" s="7">
        <f t="shared" si="2"/>
        <v>322</v>
      </c>
      <c r="J9" s="8">
        <f t="shared" si="3"/>
        <v>0.80500000000000005</v>
      </c>
      <c r="K9" s="9" t="str">
        <f t="shared" si="0"/>
        <v>ARJUN</v>
      </c>
      <c r="L9" s="9">
        <f t="shared" si="4"/>
        <v>85</v>
      </c>
      <c r="M9" s="9">
        <f t="shared" si="5"/>
        <v>77</v>
      </c>
      <c r="N9" s="9" t="str">
        <f t="shared" si="1"/>
        <v>arjun</v>
      </c>
      <c r="O9" s="9">
        <f>COUNTIF(Table1[Computer], "&gt;80")</f>
        <v>11</v>
      </c>
      <c r="P9" s="9" t="str">
        <f>CONCATENATE(Table1[[#This Row],[ Student Name]],"       ",Table1[[#This Row],[Column1]])</f>
        <v>Arjun       Verma</v>
      </c>
      <c r="Q9" s="9" t="str">
        <f>TRIM(Table1[[#This Row],[CONCATENATE]])</f>
        <v>Arjun Verma</v>
      </c>
      <c r="R9" s="9" t="str">
        <f>PROPER(Table1[[#This Row],[ Student Name]])</f>
        <v>Arjun</v>
      </c>
    </row>
    <row r="10" spans="1:18" x14ac:dyDescent="0.3">
      <c r="A10" s="5">
        <v>108</v>
      </c>
      <c r="B10" s="6" t="s">
        <v>32</v>
      </c>
      <c r="C10" s="6" t="s">
        <v>33</v>
      </c>
      <c r="D10" s="5">
        <v>73</v>
      </c>
      <c r="E10" s="5">
        <v>85</v>
      </c>
      <c r="F10" s="5">
        <v>80</v>
      </c>
      <c r="G10" s="5">
        <v>82</v>
      </c>
      <c r="H10" s="5">
        <v>19</v>
      </c>
      <c r="I10" s="7">
        <f t="shared" si="2"/>
        <v>320</v>
      </c>
      <c r="J10" s="8">
        <f t="shared" si="3"/>
        <v>0.8</v>
      </c>
      <c r="K10" s="9" t="str">
        <f t="shared" si="0"/>
        <v>MEERA</v>
      </c>
      <c r="L10" s="9">
        <f t="shared" si="4"/>
        <v>85</v>
      </c>
      <c r="M10" s="9">
        <f t="shared" si="5"/>
        <v>73</v>
      </c>
      <c r="N10" s="9" t="str">
        <f t="shared" si="1"/>
        <v>meera</v>
      </c>
      <c r="O10" s="9">
        <f>COUNTIF(Table1[Computer], "&gt;80")</f>
        <v>11</v>
      </c>
      <c r="P10" s="9" t="str">
        <f>CONCATENATE(Table1[[#This Row],[ Student Name]],"       ",Table1[[#This Row],[Column1]])</f>
        <v>Meera       Nair</v>
      </c>
      <c r="Q10" s="9" t="str">
        <f>TRIM(Table1[[#This Row],[CONCATENATE]])</f>
        <v>Meera Nair</v>
      </c>
      <c r="R10" s="9" t="str">
        <f>PROPER(Table1[[#This Row],[ Student Name]])</f>
        <v>Meera</v>
      </c>
    </row>
    <row r="11" spans="1:18" x14ac:dyDescent="0.3">
      <c r="A11" s="5">
        <v>109</v>
      </c>
      <c r="B11" s="6" t="s">
        <v>34</v>
      </c>
      <c r="C11" s="6" t="s">
        <v>35</v>
      </c>
      <c r="D11" s="5">
        <v>90</v>
      </c>
      <c r="E11" s="5">
        <v>88</v>
      </c>
      <c r="F11" s="5">
        <v>87</v>
      </c>
      <c r="G11" s="5">
        <v>92</v>
      </c>
      <c r="H11" s="5">
        <v>18</v>
      </c>
      <c r="I11" s="7">
        <f t="shared" si="2"/>
        <v>357</v>
      </c>
      <c r="J11" s="8">
        <f t="shared" si="3"/>
        <v>0.89249999999999996</v>
      </c>
      <c r="K11" s="9" t="str">
        <f t="shared" si="0"/>
        <v>KABIR</v>
      </c>
      <c r="L11" s="9">
        <f t="shared" si="4"/>
        <v>92</v>
      </c>
      <c r="M11" s="9">
        <f t="shared" si="5"/>
        <v>87</v>
      </c>
      <c r="N11" s="9" t="str">
        <f t="shared" si="1"/>
        <v>kabir</v>
      </c>
      <c r="O11" s="9">
        <f>COUNTIF(Table1[Computer], "&gt;80")</f>
        <v>11</v>
      </c>
      <c r="P11" s="9" t="str">
        <f>CONCATENATE(Table1[[#This Row],[ Student Name]],"       ",Table1[[#This Row],[Column1]])</f>
        <v>Kabir       Singh</v>
      </c>
      <c r="Q11" s="9" t="str">
        <f>TRIM(Table1[[#This Row],[CONCATENATE]])</f>
        <v>Kabir Singh</v>
      </c>
      <c r="R11" s="9" t="str">
        <f>PROPER(Table1[[#This Row],[ Student Name]])</f>
        <v>Kabir</v>
      </c>
    </row>
    <row r="12" spans="1:18" x14ac:dyDescent="0.3">
      <c r="A12" s="5">
        <v>110</v>
      </c>
      <c r="B12" s="6" t="s">
        <v>36</v>
      </c>
      <c r="C12" s="6" t="s">
        <v>37</v>
      </c>
      <c r="D12" s="5">
        <v>84</v>
      </c>
      <c r="E12" s="5">
        <v>79</v>
      </c>
      <c r="F12" s="5">
        <v>83</v>
      </c>
      <c r="G12" s="5">
        <v>86</v>
      </c>
      <c r="H12" s="5">
        <v>19</v>
      </c>
      <c r="I12" s="7">
        <f t="shared" si="2"/>
        <v>332</v>
      </c>
      <c r="J12" s="8">
        <f t="shared" si="3"/>
        <v>0.83</v>
      </c>
      <c r="K12" s="9" t="str">
        <f t="shared" si="0"/>
        <v>SIYA</v>
      </c>
      <c r="L12" s="9">
        <f t="shared" si="4"/>
        <v>86</v>
      </c>
      <c r="M12" s="9">
        <f t="shared" si="5"/>
        <v>79</v>
      </c>
      <c r="N12" s="9" t="str">
        <f t="shared" si="1"/>
        <v>siya</v>
      </c>
      <c r="O12" s="9">
        <f>COUNTIF(Table1[Computer], "&gt;80")</f>
        <v>11</v>
      </c>
      <c r="P12" s="9" t="str">
        <f>CONCATENATE(Table1[[#This Row],[ Student Name]],"       ",Table1[[#This Row],[Column1]])</f>
        <v>Siya       Sharma</v>
      </c>
      <c r="Q12" s="9" t="str">
        <f>TRIM(Table1[[#This Row],[CONCATENATE]])</f>
        <v>Siya Sharma</v>
      </c>
      <c r="R12" s="9" t="str">
        <f>PROPER(Table1[[#This Row],[ Student Name]])</f>
        <v>Siya</v>
      </c>
    </row>
    <row r="13" spans="1:18" x14ac:dyDescent="0.3">
      <c r="A13" s="5">
        <v>111</v>
      </c>
      <c r="B13" s="6" t="s">
        <v>38</v>
      </c>
      <c r="C13" s="6" t="s">
        <v>39</v>
      </c>
      <c r="D13" s="5">
        <v>67</v>
      </c>
      <c r="E13" s="5">
        <v>71</v>
      </c>
      <c r="F13" s="5">
        <v>75</v>
      </c>
      <c r="G13" s="5">
        <v>70</v>
      </c>
      <c r="H13" s="5">
        <v>20</v>
      </c>
      <c r="I13" s="7">
        <f t="shared" si="2"/>
        <v>283</v>
      </c>
      <c r="J13" s="8">
        <f t="shared" si="3"/>
        <v>0.70750000000000002</v>
      </c>
      <c r="K13" s="9" t="str">
        <f t="shared" si="0"/>
        <v>YASH</v>
      </c>
      <c r="L13" s="9">
        <f t="shared" si="4"/>
        <v>75</v>
      </c>
      <c r="M13" s="9">
        <f t="shared" si="5"/>
        <v>67</v>
      </c>
      <c r="N13" s="9" t="str">
        <f t="shared" si="1"/>
        <v>yash</v>
      </c>
      <c r="O13" s="9">
        <f>COUNTIF(Table1[Computer], "&gt;80")</f>
        <v>11</v>
      </c>
      <c r="P13" s="9" t="str">
        <f>CONCATENATE(Table1[[#This Row],[ Student Name]],"       ",Table1[[#This Row],[Column1]])</f>
        <v>Yash       Gupta</v>
      </c>
      <c r="Q13" s="9" t="str">
        <f>TRIM(Table1[[#This Row],[CONCATENATE]])</f>
        <v>Yash Gupta</v>
      </c>
      <c r="R13" s="9" t="str">
        <f>PROPER(Table1[[#This Row],[ Student Name]])</f>
        <v>Yash</v>
      </c>
    </row>
    <row r="14" spans="1:18" x14ac:dyDescent="0.3">
      <c r="A14" s="5">
        <v>112</v>
      </c>
      <c r="B14" s="6" t="s">
        <v>40</v>
      </c>
      <c r="C14" s="6" t="s">
        <v>41</v>
      </c>
      <c r="D14" s="5">
        <v>91</v>
      </c>
      <c r="E14" s="5">
        <v>94</v>
      </c>
      <c r="F14" s="5">
        <v>89</v>
      </c>
      <c r="G14" s="5">
        <v>96</v>
      </c>
      <c r="H14" s="5">
        <v>18</v>
      </c>
      <c r="I14" s="7">
        <f t="shared" si="2"/>
        <v>370</v>
      </c>
      <c r="J14" s="8">
        <f t="shared" si="3"/>
        <v>0.92500000000000004</v>
      </c>
      <c r="K14" s="9" t="str">
        <f t="shared" si="0"/>
        <v>ISHITA</v>
      </c>
      <c r="L14" s="9">
        <f t="shared" si="4"/>
        <v>96</v>
      </c>
      <c r="M14" s="9">
        <f t="shared" si="5"/>
        <v>89</v>
      </c>
      <c r="N14" s="9" t="str">
        <f t="shared" si="1"/>
        <v>ishita</v>
      </c>
      <c r="O14" s="9">
        <f>COUNTIF(Table1[Computer], "&gt;80")</f>
        <v>11</v>
      </c>
      <c r="P14" s="9" t="str">
        <f>CONCATENATE(Table1[[#This Row],[ Student Name]],"       ",Table1[[#This Row],[Column1]])</f>
        <v>Ishita       Rao</v>
      </c>
      <c r="Q14" s="9" t="str">
        <f>TRIM(Table1[[#This Row],[CONCATENATE]])</f>
        <v>Ishita Rao</v>
      </c>
      <c r="R14" s="9" t="str">
        <f>PROPER(Table1[[#This Row],[ Student Name]])</f>
        <v>Ishita</v>
      </c>
    </row>
    <row r="15" spans="1:18" x14ac:dyDescent="0.3">
      <c r="A15" s="5">
        <v>113</v>
      </c>
      <c r="B15" s="6" t="s">
        <v>42</v>
      </c>
      <c r="C15" s="6" t="s">
        <v>43</v>
      </c>
      <c r="D15" s="5">
        <v>79</v>
      </c>
      <c r="E15" s="5">
        <v>82</v>
      </c>
      <c r="F15" s="5">
        <v>77</v>
      </c>
      <c r="G15" s="5">
        <v>84</v>
      </c>
      <c r="H15" s="5">
        <v>19</v>
      </c>
      <c r="I15" s="7">
        <f t="shared" si="2"/>
        <v>322</v>
      </c>
      <c r="J15" s="8">
        <f t="shared" si="3"/>
        <v>0.80500000000000005</v>
      </c>
      <c r="K15" s="9" t="str">
        <f t="shared" si="0"/>
        <v>DEV</v>
      </c>
      <c r="L15" s="9">
        <f t="shared" si="4"/>
        <v>84</v>
      </c>
      <c r="M15" s="9">
        <f t="shared" si="5"/>
        <v>77</v>
      </c>
      <c r="N15" s="9" t="str">
        <f t="shared" si="1"/>
        <v>dev</v>
      </c>
      <c r="O15" s="9">
        <f>COUNTIF(Table1[Computer], "&gt;80")</f>
        <v>11</v>
      </c>
      <c r="P15" s="9" t="str">
        <f>CONCATENATE(Table1[[#This Row],[ Student Name]],"       ",Table1[[#This Row],[Column1]])</f>
        <v>Dev       Malhotra</v>
      </c>
      <c r="Q15" s="9" t="str">
        <f>TRIM(Table1[[#This Row],[CONCATENATE]])</f>
        <v>Dev Malhotra</v>
      </c>
      <c r="R15" s="9" t="str">
        <f>PROPER(Table1[[#This Row],[ Student Name]])</f>
        <v>Dev</v>
      </c>
    </row>
    <row r="16" spans="1:18" x14ac:dyDescent="0.3">
      <c r="A16" s="5">
        <v>114</v>
      </c>
      <c r="B16" s="6" t="s">
        <v>44</v>
      </c>
      <c r="C16" s="6" t="s">
        <v>45</v>
      </c>
      <c r="D16" s="5">
        <v>86</v>
      </c>
      <c r="E16" s="5">
        <v>87</v>
      </c>
      <c r="F16" s="5">
        <v>92</v>
      </c>
      <c r="G16" s="5">
        <v>90</v>
      </c>
      <c r="H16" s="5">
        <v>20</v>
      </c>
      <c r="I16" s="7">
        <f t="shared" si="2"/>
        <v>355</v>
      </c>
      <c r="J16" s="8">
        <f t="shared" si="3"/>
        <v>0.88749999999999996</v>
      </c>
      <c r="K16" s="9" t="str">
        <f t="shared" si="0"/>
        <v>NISHA</v>
      </c>
      <c r="L16" s="9">
        <f t="shared" si="4"/>
        <v>92</v>
      </c>
      <c r="M16" s="9">
        <f t="shared" si="5"/>
        <v>86</v>
      </c>
      <c r="N16" s="9" t="str">
        <f t="shared" si="1"/>
        <v>nisha</v>
      </c>
      <c r="O16" s="9">
        <f>COUNTIF(Table1[Computer], "&gt;80")</f>
        <v>11</v>
      </c>
      <c r="P16" s="9" t="str">
        <f>CONCATENATE(Table1[[#This Row],[ Student Name]],"       ",Table1[[#This Row],[Column1]])</f>
        <v>Nisha       Iyer</v>
      </c>
      <c r="Q16" s="9" t="str">
        <f>TRIM(Table1[[#This Row],[CONCATENATE]])</f>
        <v>Nisha Iyer</v>
      </c>
      <c r="R16" s="9" t="str">
        <f>PROPER(Table1[[#This Row],[ Student Name]])</f>
        <v>Nisha</v>
      </c>
    </row>
    <row r="17" spans="1:18" x14ac:dyDescent="0.3">
      <c r="A17" s="5">
        <v>115</v>
      </c>
      <c r="B17" s="6" t="s">
        <v>46</v>
      </c>
      <c r="C17" s="6" t="s">
        <v>47</v>
      </c>
      <c r="D17" s="5">
        <v>74</v>
      </c>
      <c r="E17" s="5">
        <v>76</v>
      </c>
      <c r="F17" s="5">
        <v>73</v>
      </c>
      <c r="G17" s="5">
        <v>78</v>
      </c>
      <c r="H17" s="5">
        <v>18</v>
      </c>
      <c r="I17" s="7">
        <f t="shared" si="2"/>
        <v>301</v>
      </c>
      <c r="J17" s="8">
        <f t="shared" si="3"/>
        <v>0.75249999999999995</v>
      </c>
      <c r="K17" s="9" t="str">
        <f t="shared" si="0"/>
        <v>RAHUL</v>
      </c>
      <c r="L17" s="9">
        <f t="shared" si="4"/>
        <v>78</v>
      </c>
      <c r="M17" s="9">
        <f t="shared" si="5"/>
        <v>73</v>
      </c>
      <c r="N17" s="9" t="str">
        <f t="shared" si="1"/>
        <v>rahul</v>
      </c>
      <c r="O17" s="9">
        <f>COUNTIF(Table1[Computer], "&gt;80")</f>
        <v>11</v>
      </c>
      <c r="P17" s="9" t="str">
        <f>CONCATENATE(Table1[[#This Row],[ Student Name]],"       ",Table1[[#This Row],[Column1]])</f>
        <v>Rahul       Choudhary</v>
      </c>
      <c r="Q17" s="9" t="str">
        <f>TRIM(Table1[[#This Row],[CONCATENATE]])</f>
        <v>Rahul Choudhary</v>
      </c>
      <c r="R17" s="9" t="str">
        <f>PROPER(Table1[[#This Row],[ Student Name]])</f>
        <v>Rahul</v>
      </c>
    </row>
    <row r="19" spans="1:18" ht="28.8" x14ac:dyDescent="0.3">
      <c r="B19" s="1" t="s">
        <v>14</v>
      </c>
    </row>
  </sheetData>
  <mergeCells count="1">
    <mergeCell ref="A1:Q1"/>
  </mergeCells>
  <pageMargins left="0.7" right="0.7" top="0.75" bottom="0.75" header="0.3" footer="0.3"/>
  <pageSetup orientation="portrait" r:id="rId1"/>
  <headerFooter>
    <oddHeader xml:space="preserve">&amp;LDU&amp;RDarshan_University
</oddHeader>
    <oddFooter>&amp;R&amp;P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 Aghara Ashok aghara</cp:lastModifiedBy>
  <dcterms:created xsi:type="dcterms:W3CDTF">2015-06-05T18:17:20Z</dcterms:created>
  <dcterms:modified xsi:type="dcterms:W3CDTF">2026-09-25T06:08:09Z</dcterms:modified>
</cp:coreProperties>
</file>