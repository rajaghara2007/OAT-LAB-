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WELCOME\Desktop\oat submission\LAB 11\"/>
    </mc:Choice>
  </mc:AlternateContent>
  <xr:revisionPtr revIDLastSave="0" documentId="13_ncr:1_{54F37CD2-C5C1-442C-8A94-AEC4EB920A20}" xr6:coauthVersionLast="47" xr6:coauthVersionMax="47" xr10:uidLastSave="{00000000-0000-0000-0000-000000000000}"/>
  <bookViews>
    <workbookView xWindow="-108" yWindow="-108" windowWidth="23256" windowHeight="14616" activeTab="2" xr2:uid="{00000000-000D-0000-FFFF-FFFF00000000}"/>
  </bookViews>
  <sheets>
    <sheet name="Sheet1" sheetId="1" r:id="rId1"/>
    <sheet name="Sheet 2" sheetId="3" r:id="rId2"/>
    <sheet name="Sheet3" sheetId="5" r:id="rId3"/>
    <sheet name="Sheet4" sheetId="6" r:id="rId4"/>
  </sheets>
  <definedNames>
    <definedName name="Gujarat" localSheetId="3">Sheet4!$D$2</definedName>
    <definedName name="Slicer_Category">#N/A</definedName>
    <definedName name="Slicer_Customer">#N/A</definedName>
    <definedName name="Slicer_Product">#N/A</definedName>
    <definedName name="Slicer_Profit">#N/A</definedName>
    <definedName name="Slicer_Region">#N/A</definedName>
    <definedName name="Slicer_Sales">#N/A</definedName>
    <definedName name="Slicer_Sales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6" l="1"/>
  <c r="I12" i="6" s="1"/>
  <c r="J12" i="6" l="1"/>
  <c r="I13" i="6"/>
  <c r="I14" i="6" s="1"/>
  <c r="I15" i="6" s="1"/>
  <c r="I16" i="6" s="1"/>
  <c r="I17" i="6" s="1"/>
  <c r="I18" i="6" s="1"/>
  <c r="I19" i="6" s="1"/>
  <c r="I20" i="6" s="1"/>
  <c r="I21" i="6" s="1"/>
  <c r="I22" i="6" s="1"/>
  <c r="H13" i="6"/>
  <c r="H14" i="6" s="1"/>
  <c r="H15" i="6" s="1"/>
  <c r="H16" i="6" s="1"/>
  <c r="H17" i="6" s="1"/>
  <c r="H18" i="6" s="1"/>
  <c r="H19" i="6" s="1"/>
  <c r="H20" i="6" s="1"/>
  <c r="H21" i="6" s="1"/>
  <c r="H22" i="6" s="1"/>
  <c r="F20" i="5"/>
  <c r="F21" i="5"/>
  <c r="F22" i="5"/>
  <c r="F23" i="5"/>
  <c r="F24" i="5"/>
  <c r="K12" i="6" l="1"/>
  <c r="J13" i="6"/>
  <c r="J14" i="6" s="1"/>
  <c r="J15" i="6" s="1"/>
  <c r="J16" i="6" s="1"/>
  <c r="J17" i="6" s="1"/>
  <c r="J18" i="6" s="1"/>
  <c r="J19" i="6" s="1"/>
  <c r="J20" i="6" s="1"/>
  <c r="J21" i="6" s="1"/>
  <c r="J22" i="6" s="1"/>
  <c r="I2" i="3"/>
  <c r="J2" i="3"/>
  <c r="L12" i="6" l="1"/>
  <c r="K13" i="6"/>
  <c r="K14" i="6" s="1"/>
  <c r="K15" i="6" s="1"/>
  <c r="K16" i="6" s="1"/>
  <c r="K17" i="6" s="1"/>
  <c r="K18" i="6" s="1"/>
  <c r="K19" i="6" s="1"/>
  <c r="K20" i="6" s="1"/>
  <c r="K21" i="6" s="1"/>
  <c r="K22" i="6" s="1"/>
  <c r="M12" i="6" l="1"/>
  <c r="L13" i="6"/>
  <c r="L14" i="6" s="1"/>
  <c r="L15" i="6" s="1"/>
  <c r="L16" i="6" s="1"/>
  <c r="L17" i="6" s="1"/>
  <c r="L18" i="6" s="1"/>
  <c r="L19" i="6" s="1"/>
  <c r="L20" i="6" s="1"/>
  <c r="L21" i="6" s="1"/>
  <c r="L22" i="6" s="1"/>
  <c r="N12" i="6" l="1"/>
  <c r="N13" i="6" s="1"/>
  <c r="N14" i="6" s="1"/>
  <c r="N15" i="6" s="1"/>
  <c r="N16" i="6" s="1"/>
  <c r="N17" i="6" s="1"/>
  <c r="N18" i="6" s="1"/>
  <c r="N19" i="6" s="1"/>
  <c r="N20" i="6" s="1"/>
  <c r="N21" i="6" s="1"/>
  <c r="N22" i="6" s="1"/>
  <c r="M13" i="6"/>
  <c r="M14" i="6" s="1"/>
  <c r="M15" i="6" s="1"/>
  <c r="M16" i="6" s="1"/>
  <c r="M17" i="6" s="1"/>
  <c r="M18" i="6" s="1"/>
  <c r="M19" i="6" s="1"/>
  <c r="M20" i="6" s="1"/>
  <c r="M21" i="6" s="1"/>
  <c r="M22" i="6" s="1"/>
</calcChain>
</file>

<file path=xl/sharedStrings.xml><?xml version="1.0" encoding="utf-8"?>
<sst xmlns="http://schemas.openxmlformats.org/spreadsheetml/2006/main" count="270" uniqueCount="129">
  <si>
    <t>Order ID</t>
  </si>
  <si>
    <t>Order Date</t>
  </si>
  <si>
    <t>Customer</t>
  </si>
  <si>
    <t>Region</t>
  </si>
  <si>
    <t>Category</t>
  </si>
  <si>
    <t>Product</t>
  </si>
  <si>
    <t>Sales</t>
  </si>
  <si>
    <t>Quantity</t>
  </si>
  <si>
    <t>Profit</t>
  </si>
  <si>
    <t>Amit</t>
  </si>
  <si>
    <t>West</t>
  </si>
  <si>
    <t>Electronics</t>
  </si>
  <si>
    <t>Laptop</t>
  </si>
  <si>
    <t>Ravi</t>
  </si>
  <si>
    <t>North</t>
  </si>
  <si>
    <t>Furniture</t>
  </si>
  <si>
    <t>Chair</t>
  </si>
  <si>
    <t>Neha</t>
  </si>
  <si>
    <t>Mobile</t>
  </si>
  <si>
    <t>Jay</t>
  </si>
  <si>
    <t>South</t>
  </si>
  <si>
    <t>Clothing</t>
  </si>
  <si>
    <t>Shirt</t>
  </si>
  <si>
    <t>Priya</t>
  </si>
  <si>
    <t>East</t>
  </si>
  <si>
    <t>Table</t>
  </si>
  <si>
    <t>Karan</t>
  </si>
  <si>
    <t>Headphones</t>
  </si>
  <si>
    <t>Pooja</t>
  </si>
  <si>
    <t>Jeans</t>
  </si>
  <si>
    <t>Rahul</t>
  </si>
  <si>
    <t>Monitor</t>
  </si>
  <si>
    <t>Sneha</t>
  </si>
  <si>
    <t>Jacket</t>
  </si>
  <si>
    <t>Dhruv</t>
  </si>
  <si>
    <t>Sofa</t>
  </si>
  <si>
    <t>Meera</t>
  </si>
  <si>
    <t>Tablet</t>
  </si>
  <si>
    <t>Arjun</t>
  </si>
  <si>
    <t>Desk</t>
  </si>
  <si>
    <t>Riya</t>
  </si>
  <si>
    <t>Keyboard</t>
  </si>
  <si>
    <t>Mohit</t>
  </si>
  <si>
    <t>Shoes</t>
  </si>
  <si>
    <t>Anjali</t>
  </si>
  <si>
    <t>Bookshelf</t>
  </si>
  <si>
    <t>Grand Total</t>
  </si>
  <si>
    <t>Row Labels</t>
  </si>
  <si>
    <t>Sum of Sales</t>
  </si>
  <si>
    <t>Count of Customer</t>
  </si>
  <si>
    <t>Sum of Profit</t>
  </si>
  <si>
    <t>Rajkot</t>
  </si>
  <si>
    <t>IT</t>
  </si>
  <si>
    <t>Harsh Mehta</t>
  </si>
  <si>
    <t>Vadodara</t>
  </si>
  <si>
    <t>Anjali Joshi</t>
  </si>
  <si>
    <t>Ahmedabad</t>
  </si>
  <si>
    <t>Finance</t>
  </si>
  <si>
    <t>Yash Desai</t>
  </si>
  <si>
    <t>Marketing</t>
  </si>
  <si>
    <t>Komal Shah</t>
  </si>
  <si>
    <t>Dhruv Patel</t>
  </si>
  <si>
    <t>Surat</t>
  </si>
  <si>
    <t>HR</t>
  </si>
  <si>
    <t>Riya Mehta</t>
  </si>
  <si>
    <t>Akash Shah</t>
  </si>
  <si>
    <t>Sneha Patel</t>
  </si>
  <si>
    <t>Karan Trivedi</t>
  </si>
  <si>
    <t>Pooja Joshi</t>
  </si>
  <si>
    <t>Raj Desai</t>
  </si>
  <si>
    <t>Neha Mehta</t>
  </si>
  <si>
    <t>Amit Shah</t>
  </si>
  <si>
    <t>Priya Patel</t>
  </si>
  <si>
    <t>Rahul Sharma</t>
  </si>
  <si>
    <t>Index</t>
  </si>
  <si>
    <t>Match</t>
  </si>
  <si>
    <t>loopup value</t>
  </si>
  <si>
    <t>Experience (Years)</t>
  </si>
  <si>
    <t>Salary</t>
  </si>
  <si>
    <t>City</t>
  </si>
  <si>
    <t>Department</t>
  </si>
  <si>
    <t>Employee Name</t>
  </si>
  <si>
    <t>Employee ID</t>
  </si>
  <si>
    <t>ROHAN</t>
  </si>
  <si>
    <t>NEHA</t>
  </si>
  <si>
    <t>AMIT</t>
  </si>
  <si>
    <t>PRIYA</t>
  </si>
  <si>
    <t>RAHUL</t>
  </si>
  <si>
    <t>TOTAL</t>
  </si>
  <si>
    <t>SUB3</t>
  </si>
  <si>
    <t>SUB2</t>
  </si>
  <si>
    <t>SUB1</t>
  </si>
  <si>
    <t>NAME</t>
  </si>
  <si>
    <t>ID</t>
  </si>
  <si>
    <t>P</t>
  </si>
  <si>
    <t>A</t>
  </si>
  <si>
    <t>Name</t>
  </si>
  <si>
    <t>Roll No.</t>
  </si>
  <si>
    <t>Gujarat</t>
  </si>
  <si>
    <t>Maharashtra</t>
  </si>
  <si>
    <t>Pune</t>
  </si>
  <si>
    <t>Mumbai</t>
  </si>
  <si>
    <t>Nagpur</t>
  </si>
  <si>
    <t>Date</t>
  </si>
  <si>
    <t>Salesperson</t>
  </si>
  <si>
    <t>Mouse</t>
  </si>
  <si>
    <t>Printer</t>
  </si>
  <si>
    <t>13-09-2026</t>
  </si>
  <si>
    <t>14-09-2026</t>
  </si>
  <si>
    <t>15-09-2026</t>
  </si>
  <si>
    <t>Year</t>
  </si>
  <si>
    <t>Month</t>
  </si>
  <si>
    <t>SUN</t>
  </si>
  <si>
    <t>MON</t>
  </si>
  <si>
    <t>WED</t>
  </si>
  <si>
    <t>THU</t>
  </si>
  <si>
    <t>TUE</t>
  </si>
  <si>
    <t>FRI</t>
  </si>
  <si>
    <t>SAT</t>
  </si>
  <si>
    <t>1-Jan-26</t>
  </si>
  <si>
    <t>2-Jan-26</t>
  </si>
  <si>
    <t>3-Jan-26</t>
  </si>
  <si>
    <t>4-Jan-26</t>
  </si>
  <si>
    <t>5-Jan-26</t>
  </si>
  <si>
    <t>6-Jan-26</t>
  </si>
  <si>
    <t>7-Jan-26</t>
  </si>
  <si>
    <t>8-Jan-26</t>
  </si>
  <si>
    <t>9-Jan-26</t>
  </si>
  <si>
    <t>10-Jan-26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</si>
</sst>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3" tint="-0.249977111117893"/>
      <name val="Calibri"/>
      <family val="2"/>
      <scheme val="minor"/>
    </font>
    <font>
      <sz val="11"/>
      <color theme="3" tint="-0.249977111117893"/>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15" fontId="0" fillId="0" borderId="0" xfId="0" applyNumberForma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15" fontId="1" fillId="0" borderId="0" xfId="0" applyNumberFormat="1" applyFont="1" applyAlignment="1">
      <alignment horizontal="center" vertical="center" wrapText="1"/>
    </xf>
    <xf numFmtId="0" fontId="1" fillId="0" borderId="0" xfId="0" applyFont="1" applyAlignment="1">
      <alignment horizontal="center" vertical="center"/>
    </xf>
    <xf numFmtId="14" fontId="0" fillId="0" borderId="0" xfId="0" applyNumberFormat="1"/>
    <xf numFmtId="14" fontId="0" fillId="0" borderId="0" xfId="0" applyNumberFormat="1" applyAlignment="1">
      <alignment horizontal="center" vertical="center"/>
    </xf>
    <xf numFmtId="0" fontId="2" fillId="2" borderId="0" xfId="0" applyFont="1" applyFill="1" applyAlignment="1">
      <alignment horizontal="center" vertical="center"/>
    </xf>
    <xf numFmtId="15" fontId="2" fillId="2" borderId="0" xfId="0" applyNumberFormat="1" applyFont="1" applyFill="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15" fontId="3" fillId="2" borderId="0" xfId="0" applyNumberFormat="1" applyFont="1" applyFill="1" applyAlignment="1">
      <alignment horizontal="center" vertical="center" wrapText="1"/>
    </xf>
  </cellXfs>
  <cellStyles count="1">
    <cellStyle name="Normal" xfId="0" builtinId="0"/>
  </cellStyles>
  <dxfs count="27">
    <dxf>
      <font>
        <strike val="0"/>
        <outline val="0"/>
        <shadow val="0"/>
        <u val="none"/>
        <vertAlign val="baseline"/>
        <sz val="11"/>
        <color theme="3" tint="-0.249977111117893"/>
        <name val="Calibri"/>
        <family val="2"/>
        <scheme val="minor"/>
      </font>
      <numFmt numFmtId="164" formatCode="d\-mmm\-yy"/>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1"/>
        <color theme="3" tint="-0.249977111117893"/>
        <name val="Calibri"/>
        <family val="2"/>
        <scheme val="minor"/>
      </font>
      <numFmt numFmtId="164" formatCode="d\-mmm\-yy"/>
      <fill>
        <patternFill patternType="solid">
          <fgColor indexed="64"/>
          <bgColor rgb="FFFFFF00"/>
        </patternFill>
      </fill>
      <alignment horizontal="center" vertical="center" textRotation="0" wrapText="1" indent="0" justifyLastLine="0" shrinkToFit="0" readingOrder="0"/>
    </dxf>
    <dxf>
      <font>
        <strike val="0"/>
        <outline val="0"/>
        <shadow val="0"/>
        <u val="none"/>
        <vertAlign val="baseline"/>
        <sz val="11"/>
        <color theme="3" tint="-0.249977111117893"/>
        <name val="Calibri"/>
        <family val="2"/>
        <scheme val="minor"/>
      </font>
      <fill>
        <patternFill patternType="solid">
          <fgColor indexed="64"/>
          <bgColor rgb="FFFFFF00"/>
        </patternFill>
      </fill>
      <alignment horizontal="center" vertical="center" textRotation="0" wrapText="0" indent="0" justifyLastLine="0" shrinkToFit="0" readingOrder="0"/>
    </dxf>
    <dxf>
      <font>
        <strike val="0"/>
        <outline val="0"/>
        <shadow val="0"/>
        <u val="none"/>
        <vertAlign val="baseline"/>
        <sz val="11"/>
        <color theme="3" tint="-0.249977111117893"/>
        <name val="Calibri"/>
        <family val="2"/>
        <scheme val="minor"/>
      </font>
      <fill>
        <patternFill patternType="solid">
          <fgColor indexed="64"/>
          <bgColor rgb="FFFFFF00"/>
        </patternFill>
      </fill>
      <alignment horizontal="center" vertical="center" textRotation="0" wrapText="0" indent="0" justifyLastLine="0" shrinkToFit="0" readingOrder="0"/>
    </dxf>
    <dxf>
      <font>
        <strike val="0"/>
        <outline val="0"/>
        <shadow val="0"/>
        <u val="none"/>
        <vertAlign val="baseline"/>
        <sz val="11"/>
        <color theme="3" tint="-0.249977111117893"/>
        <name val="Calibri"/>
        <family val="2"/>
        <scheme val="minor"/>
      </font>
      <fill>
        <patternFill patternType="solid">
          <fgColor indexed="64"/>
          <bgColor rgb="FFFFFF00"/>
        </patternFill>
      </fill>
      <alignment horizontal="center" vertical="center" textRotation="0" wrapText="0" indent="0" justifyLastLine="0" shrinkToFit="0" readingOrder="0"/>
    </dxf>
    <dxf>
      <font>
        <strike val="0"/>
        <outline val="0"/>
        <shadow val="0"/>
        <u val="none"/>
        <vertAlign val="baseline"/>
        <sz val="11"/>
        <color theme="3" tint="-0.249977111117893"/>
        <name val="Calibri"/>
        <family val="2"/>
        <scheme val="minor"/>
      </font>
      <fill>
        <patternFill patternType="solid">
          <fgColor indexed="64"/>
          <bgColor rgb="FFFFFF00"/>
        </patternFill>
      </fill>
      <alignment horizontal="center" vertical="center" textRotation="0" wrapText="0" indent="0" justifyLastLine="0" shrinkToFit="0" readingOrder="0"/>
    </dxf>
    <dxf>
      <font>
        <strike val="0"/>
        <outline val="0"/>
        <shadow val="0"/>
        <u val="none"/>
        <vertAlign val="baseline"/>
        <sz val="11"/>
        <color theme="3" tint="-0.249977111117893"/>
        <name val="Calibri"/>
        <family val="2"/>
        <scheme val="minor"/>
      </font>
      <fill>
        <patternFill patternType="solid">
          <fgColor indexed="64"/>
          <bgColor rgb="FFFFFF00"/>
        </patternFill>
      </fill>
      <alignment horizontal="center" vertical="center" textRotation="0" wrapText="0" indent="0" justifyLastLine="0" shrinkToFit="0" readingOrder="0"/>
    </dxf>
    <dxf>
      <font>
        <strike val="0"/>
        <outline val="0"/>
        <shadow val="0"/>
        <u val="none"/>
        <vertAlign val="baseline"/>
        <sz val="11"/>
        <color theme="3" tint="-0.249977111117893"/>
        <name val="Calibri"/>
        <family val="2"/>
        <scheme val="minor"/>
      </font>
      <fill>
        <patternFill patternType="solid">
          <fgColor indexed="64"/>
          <bgColor rgb="FFFFFF00"/>
        </patternFill>
      </fill>
      <alignment horizontal="center" vertical="center" textRotation="0" wrapText="0" indent="0" justifyLastLine="0" shrinkToFit="0" readingOrder="0"/>
    </dxf>
    <dxf>
      <font>
        <strike val="0"/>
        <outline val="0"/>
        <shadow val="0"/>
        <u val="none"/>
        <vertAlign val="baseline"/>
        <sz val="11"/>
        <color theme="3" tint="-0.249977111117893"/>
        <name val="Calibri"/>
        <family val="2"/>
        <scheme val="minor"/>
      </font>
      <fill>
        <patternFill patternType="solid">
          <fgColor indexed="64"/>
          <bgColor rgb="FFFFFF00"/>
        </patternFill>
      </fill>
      <alignment horizontal="center" vertical="center" textRotation="0" wrapText="0" indent="0" justifyLastLine="0" shrinkToFit="0" readingOrder="0"/>
    </dxf>
    <dxf>
      <font>
        <strike val="0"/>
        <outline val="0"/>
        <shadow val="0"/>
        <u val="none"/>
        <vertAlign val="baseline"/>
        <sz val="11"/>
        <color theme="3" tint="-0.249977111117893"/>
        <name val="Calibri"/>
        <family val="2"/>
        <scheme val="minor"/>
      </font>
      <fill>
        <patternFill patternType="solid">
          <fgColor indexed="64"/>
          <bgColor rgb="FFFFFF00"/>
        </patternFill>
      </fill>
      <alignment horizontal="center" vertical="center" textRotation="0" wrapText="0" indent="0" justifyLastLine="0" shrinkToFit="0" readingOrder="0"/>
    </dxf>
    <dxf>
      <font>
        <strike val="0"/>
        <outline val="0"/>
        <shadow val="0"/>
        <u val="none"/>
        <vertAlign val="baseline"/>
        <sz val="11"/>
        <color theme="3" tint="-0.249977111117893"/>
        <name val="Calibri"/>
        <family val="2"/>
        <scheme val="minor"/>
      </font>
      <fill>
        <patternFill patternType="solid">
          <fgColor indexed="64"/>
          <bgColor rgb="FFFFFF00"/>
        </patternFill>
      </fill>
      <alignment horizontal="center" vertical="center" textRotation="0" wrapText="0" indent="0" justifyLastLine="0" shrinkToFit="0" readingOrder="0"/>
    </dxf>
    <dxf>
      <font>
        <strike val="0"/>
        <outline val="0"/>
        <shadow val="0"/>
        <u val="none"/>
        <vertAlign val="baseline"/>
        <sz val="11"/>
        <color theme="3" tint="-0.249977111117893"/>
        <name val="Calibri"/>
        <family val="2"/>
        <scheme val="minor"/>
      </font>
      <numFmt numFmtId="164" formatCode="d\-mmm\-yy"/>
      <fill>
        <patternFill patternType="solid">
          <fgColor indexed="64"/>
          <bgColor rgb="FFFFFF00"/>
        </patternFill>
      </fill>
      <alignment horizontal="center" vertical="center" textRotation="0" wrapText="1" indent="0" justifyLastLine="0" shrinkToFit="0" readingOrder="0"/>
    </dxf>
    <dxf>
      <font>
        <strike val="0"/>
        <outline val="0"/>
        <shadow val="0"/>
        <u val="none"/>
        <vertAlign val="baseline"/>
        <sz val="11"/>
        <color theme="3" tint="-0.249977111117893"/>
        <name val="Calibri"/>
        <family val="2"/>
        <scheme val="minor"/>
      </font>
      <fill>
        <patternFill patternType="solid">
          <fgColor indexed="64"/>
          <bgColor rgb="FFFFFF00"/>
        </patternFill>
      </fill>
      <alignment horizontal="center" vertical="center" textRotation="0" wrapText="1" indent="0" justifyLastLine="0" shrinkToFit="0" readingOrder="0"/>
    </dxf>
    <dxf>
      <font>
        <strike val="0"/>
        <outline val="0"/>
        <shadow val="0"/>
        <u val="none"/>
        <vertAlign val="baseline"/>
        <sz val="11"/>
        <color theme="3" tint="-0.249977111117893"/>
        <name val="Calibri"/>
        <family val="2"/>
        <scheme val="minor"/>
      </font>
      <fill>
        <patternFill patternType="solid">
          <fgColor indexed="64"/>
          <bgColor rgb="FFFFFF00"/>
        </patternFill>
      </fill>
      <alignment horizontal="center" vertical="center" textRotation="0" wrapText="0" indent="0" justifyLastLine="0" shrinkToFit="0" readingOrder="0"/>
    </dxf>
    <dxf>
      <font>
        <b val="0"/>
        <i/>
      </font>
      <border>
        <left style="thin">
          <color auto="1"/>
        </left>
        <right style="thin">
          <color auto="1"/>
        </right>
        <top style="thin">
          <color auto="1"/>
        </top>
        <bottom style="thin">
          <color auto="1"/>
        </bottom>
        <vertical/>
        <horizontal/>
      </border>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[LAB-11.xlsx]Sheet1!PivotTable2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Sheet1!$L$3</c:f>
              <c:strCache>
                <c:ptCount val="1"/>
                <c:pt idx="0">
                  <c:v>Total</c:v>
                </c:pt>
              </c:strCache>
            </c:strRef>
          </c:tx>
          <c:spPr>
            <a:solidFill>
              <a:schemeClr val="accent1"/>
            </a:solidFill>
            <a:ln>
              <a:noFill/>
            </a:ln>
            <a:effectLst/>
          </c:spPr>
          <c:invertIfNegative val="0"/>
          <c:cat>
            <c:strRef>
              <c:f>Sheet1!$K$4:$K$7</c:f>
              <c:strCache>
                <c:ptCount val="3"/>
                <c:pt idx="0">
                  <c:v>Clothing</c:v>
                </c:pt>
                <c:pt idx="1">
                  <c:v>Electronics</c:v>
                </c:pt>
                <c:pt idx="2">
                  <c:v>Furniture</c:v>
                </c:pt>
              </c:strCache>
            </c:strRef>
          </c:cat>
          <c:val>
            <c:numRef>
              <c:f>Sheet1!$L$4:$L$7</c:f>
              <c:numCache>
                <c:formatCode>General</c:formatCode>
                <c:ptCount val="3"/>
                <c:pt idx="0">
                  <c:v>55000</c:v>
                </c:pt>
                <c:pt idx="1">
                  <c:v>185000</c:v>
                </c:pt>
                <c:pt idx="2">
                  <c:v>144000</c:v>
                </c:pt>
              </c:numCache>
            </c:numRef>
          </c:val>
          <c:extLst>
            <c:ext xmlns:c16="http://schemas.microsoft.com/office/drawing/2014/chart" uri="{C3380CC4-5D6E-409C-BE32-E72D297353CC}">
              <c16:uniqueId val="{00000000-5EA1-4709-B723-9B687AB821AA}"/>
            </c:ext>
          </c:extLst>
        </c:ser>
        <c:dLbls>
          <c:showLegendKey val="0"/>
          <c:showVal val="0"/>
          <c:showCatName val="0"/>
          <c:showSerName val="0"/>
          <c:showPercent val="0"/>
          <c:showBubbleSize val="0"/>
        </c:dLbls>
        <c:gapWidth val="219"/>
        <c:overlap val="-27"/>
        <c:axId val="1396896431"/>
        <c:axId val="1402999487"/>
      </c:barChart>
      <c:catAx>
        <c:axId val="139689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99487"/>
        <c:crosses val="autoZero"/>
        <c:auto val="1"/>
        <c:lblAlgn val="ctr"/>
        <c:lblOffset val="100"/>
        <c:noMultiLvlLbl val="0"/>
      </c:catAx>
      <c:valAx>
        <c:axId val="140299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9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[LAB-11.xlsx]Sheet1!PivotTable3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Sheet1!$P$3</c:f>
              <c:strCache>
                <c:ptCount val="1"/>
                <c:pt idx="0">
                  <c:v>Total</c:v>
                </c:pt>
              </c:strCache>
            </c:strRef>
          </c:tx>
          <c:spPr>
            <a:solidFill>
              <a:schemeClr val="accent1"/>
            </a:solidFill>
            <a:ln>
              <a:noFill/>
            </a:ln>
            <a:effectLst/>
            <a:sp3d/>
          </c:spPr>
          <c:invertIfNegative val="0"/>
          <c:cat>
            <c:strRef>
              <c:f>Sheet1!$O$4:$O$8</c:f>
              <c:strCache>
                <c:ptCount val="4"/>
                <c:pt idx="0">
                  <c:v>East</c:v>
                </c:pt>
                <c:pt idx="1">
                  <c:v>North</c:v>
                </c:pt>
                <c:pt idx="2">
                  <c:v>South</c:v>
                </c:pt>
                <c:pt idx="3">
                  <c:v>West</c:v>
                </c:pt>
              </c:strCache>
            </c:strRef>
          </c:cat>
          <c:val>
            <c:numRef>
              <c:f>Sheet1!$P$4:$P$8</c:f>
              <c:numCache>
                <c:formatCode>General</c:formatCode>
                <c:ptCount val="4"/>
                <c:pt idx="0">
                  <c:v>3</c:v>
                </c:pt>
                <c:pt idx="1">
                  <c:v>4</c:v>
                </c:pt>
                <c:pt idx="2">
                  <c:v>3</c:v>
                </c:pt>
                <c:pt idx="3">
                  <c:v>5</c:v>
                </c:pt>
              </c:numCache>
            </c:numRef>
          </c:val>
          <c:extLst>
            <c:ext xmlns:c16="http://schemas.microsoft.com/office/drawing/2014/chart" uri="{C3380CC4-5D6E-409C-BE32-E72D297353CC}">
              <c16:uniqueId val="{00000000-04A8-428E-9D79-A8AA39B495FE}"/>
            </c:ext>
          </c:extLst>
        </c:ser>
        <c:dLbls>
          <c:showLegendKey val="0"/>
          <c:showVal val="0"/>
          <c:showCatName val="0"/>
          <c:showSerName val="0"/>
          <c:showPercent val="0"/>
          <c:showBubbleSize val="0"/>
        </c:dLbls>
        <c:gapWidth val="150"/>
        <c:shape val="box"/>
        <c:axId val="1405671247"/>
        <c:axId val="1410167951"/>
        <c:axId val="0"/>
      </c:bar3DChart>
      <c:catAx>
        <c:axId val="1405671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167951"/>
        <c:crosses val="autoZero"/>
        <c:auto val="1"/>
        <c:lblAlgn val="ctr"/>
        <c:lblOffset val="100"/>
        <c:noMultiLvlLbl val="0"/>
      </c:catAx>
      <c:valAx>
        <c:axId val="141016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67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[LAB-11.xlsx]Sheet1!PivotTable4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Sheet1!$T$3</c:f>
              <c:strCache>
                <c:ptCount val="1"/>
                <c:pt idx="0">
                  <c:v>Sum of Sales</c:v>
                </c:pt>
              </c:strCache>
            </c:strRef>
          </c:tx>
          <c:spPr>
            <a:solidFill>
              <a:schemeClr val="accent1"/>
            </a:solidFill>
            <a:ln>
              <a:noFill/>
            </a:ln>
            <a:effectLst/>
            <a:sp3d/>
          </c:spPr>
          <c:invertIfNegative val="0"/>
          <c:cat>
            <c:strRef>
              <c:f>Sheet1!$S$4:$S$19</c:f>
              <c:strCache>
                <c:ptCount val="15"/>
                <c:pt idx="0">
                  <c:v>Bookshelf</c:v>
                </c:pt>
                <c:pt idx="1">
                  <c:v>Chair</c:v>
                </c:pt>
                <c:pt idx="2">
                  <c:v>Desk</c:v>
                </c:pt>
                <c:pt idx="3">
                  <c:v>Headphones</c:v>
                </c:pt>
                <c:pt idx="4">
                  <c:v>Jacket</c:v>
                </c:pt>
                <c:pt idx="5">
                  <c:v>Jeans</c:v>
                </c:pt>
                <c:pt idx="6">
                  <c:v>Keyboard</c:v>
                </c:pt>
                <c:pt idx="7">
                  <c:v>Laptop</c:v>
                </c:pt>
                <c:pt idx="8">
                  <c:v>Mobile</c:v>
                </c:pt>
                <c:pt idx="9">
                  <c:v>Monitor</c:v>
                </c:pt>
                <c:pt idx="10">
                  <c:v>Shirt</c:v>
                </c:pt>
                <c:pt idx="11">
                  <c:v>Shoes</c:v>
                </c:pt>
                <c:pt idx="12">
                  <c:v>Sofa</c:v>
                </c:pt>
                <c:pt idx="13">
                  <c:v>Table</c:v>
                </c:pt>
                <c:pt idx="14">
                  <c:v>Tablet</c:v>
                </c:pt>
              </c:strCache>
            </c:strRef>
          </c:cat>
          <c:val>
            <c:numRef>
              <c:f>Sheet1!$T$4:$T$19</c:f>
              <c:numCache>
                <c:formatCode>General</c:formatCode>
                <c:ptCount val="15"/>
                <c:pt idx="0">
                  <c:v>30000</c:v>
                </c:pt>
                <c:pt idx="1">
                  <c:v>12000</c:v>
                </c:pt>
                <c:pt idx="2">
                  <c:v>22000</c:v>
                </c:pt>
                <c:pt idx="3">
                  <c:v>9000</c:v>
                </c:pt>
                <c:pt idx="4">
                  <c:v>18000</c:v>
                </c:pt>
                <c:pt idx="5">
                  <c:v>15000</c:v>
                </c:pt>
                <c:pt idx="6">
                  <c:v>6000</c:v>
                </c:pt>
                <c:pt idx="7">
                  <c:v>65000</c:v>
                </c:pt>
                <c:pt idx="8">
                  <c:v>45000</c:v>
                </c:pt>
                <c:pt idx="9">
                  <c:v>28000</c:v>
                </c:pt>
                <c:pt idx="10">
                  <c:v>8000</c:v>
                </c:pt>
                <c:pt idx="11">
                  <c:v>14000</c:v>
                </c:pt>
                <c:pt idx="12">
                  <c:v>55000</c:v>
                </c:pt>
                <c:pt idx="13">
                  <c:v>25000</c:v>
                </c:pt>
                <c:pt idx="14">
                  <c:v>32000</c:v>
                </c:pt>
              </c:numCache>
            </c:numRef>
          </c:val>
          <c:extLst>
            <c:ext xmlns:c16="http://schemas.microsoft.com/office/drawing/2014/chart" uri="{C3380CC4-5D6E-409C-BE32-E72D297353CC}">
              <c16:uniqueId val="{00000000-9611-48A2-83A6-A3F8AB9E7DE1}"/>
            </c:ext>
          </c:extLst>
        </c:ser>
        <c:ser>
          <c:idx val="1"/>
          <c:order val="1"/>
          <c:tx>
            <c:strRef>
              <c:f>Sheet1!$U$3</c:f>
              <c:strCache>
                <c:ptCount val="1"/>
                <c:pt idx="0">
                  <c:v>Sum of Profit</c:v>
                </c:pt>
              </c:strCache>
            </c:strRef>
          </c:tx>
          <c:spPr>
            <a:solidFill>
              <a:schemeClr val="accent2"/>
            </a:solidFill>
            <a:ln>
              <a:noFill/>
            </a:ln>
            <a:effectLst/>
            <a:sp3d/>
          </c:spPr>
          <c:invertIfNegative val="0"/>
          <c:cat>
            <c:strRef>
              <c:f>Sheet1!$S$4:$S$19</c:f>
              <c:strCache>
                <c:ptCount val="15"/>
                <c:pt idx="0">
                  <c:v>Bookshelf</c:v>
                </c:pt>
                <c:pt idx="1">
                  <c:v>Chair</c:v>
                </c:pt>
                <c:pt idx="2">
                  <c:v>Desk</c:v>
                </c:pt>
                <c:pt idx="3">
                  <c:v>Headphones</c:v>
                </c:pt>
                <c:pt idx="4">
                  <c:v>Jacket</c:v>
                </c:pt>
                <c:pt idx="5">
                  <c:v>Jeans</c:v>
                </c:pt>
                <c:pt idx="6">
                  <c:v>Keyboard</c:v>
                </c:pt>
                <c:pt idx="7">
                  <c:v>Laptop</c:v>
                </c:pt>
                <c:pt idx="8">
                  <c:v>Mobile</c:v>
                </c:pt>
                <c:pt idx="9">
                  <c:v>Monitor</c:v>
                </c:pt>
                <c:pt idx="10">
                  <c:v>Shirt</c:v>
                </c:pt>
                <c:pt idx="11">
                  <c:v>Shoes</c:v>
                </c:pt>
                <c:pt idx="12">
                  <c:v>Sofa</c:v>
                </c:pt>
                <c:pt idx="13">
                  <c:v>Table</c:v>
                </c:pt>
                <c:pt idx="14">
                  <c:v>Tablet</c:v>
                </c:pt>
              </c:strCache>
            </c:strRef>
          </c:cat>
          <c:val>
            <c:numRef>
              <c:f>Sheet1!$U$4:$U$19</c:f>
              <c:numCache>
                <c:formatCode>General</c:formatCode>
                <c:ptCount val="15"/>
                <c:pt idx="0">
                  <c:v>5500</c:v>
                </c:pt>
                <c:pt idx="1">
                  <c:v>2500</c:v>
                </c:pt>
                <c:pt idx="2">
                  <c:v>4500</c:v>
                </c:pt>
                <c:pt idx="3">
                  <c:v>1800</c:v>
                </c:pt>
                <c:pt idx="4">
                  <c:v>4000</c:v>
                </c:pt>
                <c:pt idx="5">
                  <c:v>3500</c:v>
                </c:pt>
                <c:pt idx="6">
                  <c:v>1200</c:v>
                </c:pt>
                <c:pt idx="7">
                  <c:v>8000</c:v>
                </c:pt>
                <c:pt idx="8">
                  <c:v>6000</c:v>
                </c:pt>
                <c:pt idx="9">
                  <c:v>4200</c:v>
                </c:pt>
                <c:pt idx="10">
                  <c:v>1800</c:v>
                </c:pt>
                <c:pt idx="11">
                  <c:v>3000</c:v>
                </c:pt>
                <c:pt idx="12">
                  <c:v>9000</c:v>
                </c:pt>
                <c:pt idx="13">
                  <c:v>5000</c:v>
                </c:pt>
                <c:pt idx="14">
                  <c:v>5000</c:v>
                </c:pt>
              </c:numCache>
            </c:numRef>
          </c:val>
          <c:extLst>
            <c:ext xmlns:c16="http://schemas.microsoft.com/office/drawing/2014/chart" uri="{C3380CC4-5D6E-409C-BE32-E72D297353CC}">
              <c16:uniqueId val="{00000001-9611-48A2-83A6-A3F8AB9E7DE1}"/>
            </c:ext>
          </c:extLst>
        </c:ser>
        <c:dLbls>
          <c:showLegendKey val="0"/>
          <c:showVal val="0"/>
          <c:showCatName val="0"/>
          <c:showSerName val="0"/>
          <c:showPercent val="0"/>
          <c:showBubbleSize val="0"/>
        </c:dLbls>
        <c:gapWidth val="150"/>
        <c:shape val="box"/>
        <c:axId val="1220405791"/>
        <c:axId val="1313058991"/>
        <c:axId val="0"/>
      </c:bar3DChart>
      <c:catAx>
        <c:axId val="1220405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58991"/>
        <c:crosses val="autoZero"/>
        <c:auto val="1"/>
        <c:lblAlgn val="ctr"/>
        <c:lblOffset val="100"/>
        <c:noMultiLvlLbl val="0"/>
      </c:catAx>
      <c:valAx>
        <c:axId val="131305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0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154938</xdr:rowOff>
    </xdr:from>
    <xdr:to>
      <xdr:col>5</xdr:col>
      <xdr:colOff>300387</xdr:colOff>
      <xdr:row>36</xdr:row>
      <xdr:rowOff>135888</xdr:rowOff>
    </xdr:to>
    <xdr:graphicFrame macro="">
      <xdr:nvGraphicFramePr>
        <xdr:cNvPr id="2" name="Chart 1">
          <a:extLst>
            <a:ext uri="{FF2B5EF4-FFF2-40B4-BE49-F238E27FC236}">
              <a16:creationId xmlns:a16="http://schemas.microsoft.com/office/drawing/2014/main" id="{AE8BB963-5DE2-407F-821E-ACD0C6674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413174</xdr:colOff>
      <xdr:row>21</xdr:row>
      <xdr:rowOff>155290</xdr:rowOff>
    </xdr:from>
    <xdr:to>
      <xdr:col>12</xdr:col>
      <xdr:colOff>558018</xdr:colOff>
      <xdr:row>36</xdr:row>
      <xdr:rowOff>153998</xdr:rowOff>
    </xdr:to>
    <xdr:graphicFrame macro="">
      <xdr:nvGraphicFramePr>
        <xdr:cNvPr id="3" name="Chart 2">
          <a:extLst>
            <a:ext uri="{FF2B5EF4-FFF2-40B4-BE49-F238E27FC236}">
              <a16:creationId xmlns:a16="http://schemas.microsoft.com/office/drawing/2014/main" id="{51B8C6DB-30D1-48D8-B137-1A21A3BC5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242104</xdr:colOff>
      <xdr:row>22</xdr:row>
      <xdr:rowOff>365</xdr:rowOff>
    </xdr:from>
    <xdr:to>
      <xdr:col>19</xdr:col>
      <xdr:colOff>766192</xdr:colOff>
      <xdr:row>36</xdr:row>
      <xdr:rowOff>182888</xdr:rowOff>
    </xdr:to>
    <xdr:graphicFrame macro="">
      <xdr:nvGraphicFramePr>
        <xdr:cNvPr id="4" name="Chart 3">
          <a:extLst>
            <a:ext uri="{FF2B5EF4-FFF2-40B4-BE49-F238E27FC236}">
              <a16:creationId xmlns:a16="http://schemas.microsoft.com/office/drawing/2014/main" id="{6B2933D6-B05D-4325-8A22-106DBE651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224311</xdr:colOff>
      <xdr:row>1</xdr:row>
      <xdr:rowOff>118117</xdr:rowOff>
    </xdr:from>
    <xdr:to>
      <xdr:col>28</xdr:col>
      <xdr:colOff>193874</xdr:colOff>
      <xdr:row>15</xdr:row>
      <xdr:rowOff>80717</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775BE27-2EF3-48CE-AF58-17E4506C05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30208" y="492604"/>
              <a:ext cx="1793153" cy="2470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97283</xdr:colOff>
      <xdr:row>1</xdr:row>
      <xdr:rowOff>131572</xdr:rowOff>
    </xdr:from>
    <xdr:to>
      <xdr:col>32</xdr:col>
      <xdr:colOff>143721</xdr:colOff>
      <xdr:row>15</xdr:row>
      <xdr:rowOff>94171</xdr:rowOff>
    </xdr:to>
    <mc:AlternateContent xmlns:mc="http://schemas.openxmlformats.org/markup-compatibility/2006" xmlns:a14="http://schemas.microsoft.com/office/drawing/2010/main">
      <mc:Choice Requires="a14">
        <xdr:graphicFrame macro="">
          <xdr:nvGraphicFramePr>
            <xdr:cNvPr id="6" name="Sales">
              <a:extLst>
                <a:ext uri="{FF2B5EF4-FFF2-40B4-BE49-F238E27FC236}">
                  <a16:creationId xmlns:a16="http://schemas.microsoft.com/office/drawing/2014/main" id="{7DA7F3B0-24FF-4D8B-97D1-463D337A180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21736129" y="506059"/>
              <a:ext cx="1821182" cy="2470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52471</xdr:colOff>
      <xdr:row>2</xdr:row>
      <xdr:rowOff>16377</xdr:rowOff>
    </xdr:from>
    <xdr:to>
      <xdr:col>37</xdr:col>
      <xdr:colOff>76534</xdr:colOff>
      <xdr:row>15</xdr:row>
      <xdr:rowOff>150896</xdr:rowOff>
    </xdr:to>
    <mc:AlternateContent xmlns:mc="http://schemas.openxmlformats.org/markup-compatibility/2006" xmlns:a14="http://schemas.microsoft.com/office/drawing/2010/main">
      <mc:Choice Requires="a14">
        <xdr:graphicFrame macro="">
          <xdr:nvGraphicFramePr>
            <xdr:cNvPr id="7" name="Customer">
              <a:extLst>
                <a:ext uri="{FF2B5EF4-FFF2-40B4-BE49-F238E27FC236}">
                  <a16:creationId xmlns:a16="http://schemas.microsoft.com/office/drawing/2014/main" id="{1D23E683-2C2C-4953-991C-8A5325FC1D39}"/>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24670933" y="569967"/>
              <a:ext cx="1831370" cy="2462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110958</xdr:colOff>
      <xdr:row>1</xdr:row>
      <xdr:rowOff>158415</xdr:rowOff>
    </xdr:from>
    <xdr:to>
      <xdr:col>40</xdr:col>
      <xdr:colOff>135021</xdr:colOff>
      <xdr:row>15</xdr:row>
      <xdr:rowOff>109119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D3FC3C5-6760-4C17-8BC5-362ACC4DD1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536727" y="532902"/>
              <a:ext cx="1831371" cy="2458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135021</xdr:colOff>
      <xdr:row>21</xdr:row>
      <xdr:rowOff>165769</xdr:rowOff>
    </xdr:from>
    <xdr:to>
      <xdr:col>28</xdr:col>
      <xdr:colOff>108952</xdr:colOff>
      <xdr:row>35</xdr:row>
      <xdr:rowOff>116473</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F671E3C8-1B4E-437C-8B11-0B3F43F6CEF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640918" y="4122307"/>
              <a:ext cx="1797521" cy="2458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210218</xdr:colOff>
      <xdr:row>21</xdr:row>
      <xdr:rowOff>174124</xdr:rowOff>
    </xdr:from>
    <xdr:to>
      <xdr:col>31</xdr:col>
      <xdr:colOff>568492</xdr:colOff>
      <xdr:row>35</xdr:row>
      <xdr:rowOff>124828</xdr:rowOff>
    </xdr:to>
    <mc:AlternateContent xmlns:mc="http://schemas.openxmlformats.org/markup-compatibility/2006" xmlns:a14="http://schemas.microsoft.com/office/drawing/2010/main">
      <mc:Choice Requires="a14">
        <xdr:graphicFrame macro="">
          <xdr:nvGraphicFramePr>
            <xdr:cNvPr id="10" name="Sales 1">
              <a:extLst>
                <a:ext uri="{FF2B5EF4-FFF2-40B4-BE49-F238E27FC236}">
                  <a16:creationId xmlns:a16="http://schemas.microsoft.com/office/drawing/2014/main" id="{C2AB3E6A-3784-46C6-B9C9-63D08C3F51B7}"/>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21539705" y="4130662"/>
              <a:ext cx="1839941" cy="2458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135021</xdr:colOff>
      <xdr:row>22</xdr:row>
      <xdr:rowOff>15374</xdr:rowOff>
    </xdr:from>
    <xdr:to>
      <xdr:col>35</xdr:col>
      <xdr:colOff>159084</xdr:colOff>
      <xdr:row>35</xdr:row>
      <xdr:rowOff>149894</xdr:rowOff>
    </xdr:to>
    <mc:AlternateContent xmlns:mc="http://schemas.openxmlformats.org/markup-compatibility/2006" xmlns:a14="http://schemas.microsoft.com/office/drawing/2010/main">
      <mc:Choice Requires="a14">
        <xdr:graphicFrame macro="">
          <xdr:nvGraphicFramePr>
            <xdr:cNvPr id="11" name="Profit">
              <a:extLst>
                <a:ext uri="{FF2B5EF4-FFF2-40B4-BE49-F238E27FC236}">
                  <a16:creationId xmlns:a16="http://schemas.microsoft.com/office/drawing/2014/main" id="{34C47A79-5BAC-4939-940D-43093FAE2444}"/>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23548611" y="4151015"/>
              <a:ext cx="1831370" cy="2462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5.520200810184" createdVersion="6" refreshedVersion="6" minRefreshableVersion="3" recordCount="15" xr:uid="{228A7956-E47F-4632-B1C9-BE702C5B0154}">
  <cacheSource type="worksheet">
    <worksheetSource ref="A1:I16" sheet="Sheet1"/>
  </cacheSource>
  <cacheFields count="10">
    <cacheField name="Order ID" numFmtId="0">
      <sharedItems containsSemiMixedTypes="0" containsString="0" containsNumber="1" containsInteger="1" minValue="101" maxValue="115"/>
    </cacheField>
    <cacheField name="Order Date" numFmtId="15">
      <sharedItems containsSemiMixedTypes="0" containsNonDate="0" containsDate="1" containsString="0" minDate="2026-01-05T00:00:00" maxDate="2026-04-26T00:00:00" count="15">
        <d v="2026-01-05T00:00:00"/>
        <d v="2026-01-12T00:00:00"/>
        <d v="2026-01-18T00:00:00"/>
        <d v="2026-01-25T00:00:00"/>
        <d v="2026-02-03T00:00:00"/>
        <d v="2026-02-10T00:00:00"/>
        <d v="2026-02-17T00:00:00"/>
        <d v="2026-02-24T00:00:00"/>
        <d v="2026-03-05T00:00:00"/>
        <d v="2026-03-12T00:00:00"/>
        <d v="2026-03-19T00:00:00"/>
        <d v="2026-03-26T00:00:00"/>
        <d v="2026-04-05T00:00:00"/>
        <d v="2026-04-15T00:00:00"/>
        <d v="2026-04-25T00:00:00"/>
      </sharedItems>
      <fieldGroup par="9" base="1">
        <rangePr groupBy="days" startDate="2026-01-05T00:00:00" endDate="2026-04-26T00:00:00"/>
        <groupItems count="368">
          <s v="&lt;1/5/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26/2026"/>
        </groupItems>
      </fieldGroup>
    </cacheField>
    <cacheField name="Customer" numFmtId="0">
      <sharedItems count="15">
        <s v="Amit"/>
        <s v="Ravi"/>
        <s v="Neha"/>
        <s v="Jay"/>
        <s v="Priya"/>
        <s v="Karan"/>
        <s v="Pooja"/>
        <s v="Rahul"/>
        <s v="Sneha"/>
        <s v="Dhruv"/>
        <s v="Meera"/>
        <s v="Arjun"/>
        <s v="Riya"/>
        <s v="Mohit"/>
        <s v="Anjali"/>
      </sharedItems>
    </cacheField>
    <cacheField name="Region" numFmtId="0">
      <sharedItems count="4">
        <s v="West"/>
        <s v="North"/>
        <s v="South"/>
        <s v="East"/>
      </sharedItems>
    </cacheField>
    <cacheField name="Category" numFmtId="0">
      <sharedItems count="3">
        <s v="Electronics"/>
        <s v="Furniture"/>
        <s v="Clothing"/>
      </sharedItems>
    </cacheField>
    <cacheField name="Product" numFmtId="0">
      <sharedItems count="15">
        <s v="Laptop"/>
        <s v="Chair"/>
        <s v="Mobile"/>
        <s v="Shirt"/>
        <s v="Table"/>
        <s v="Headphones"/>
        <s v="Jeans"/>
        <s v="Monitor"/>
        <s v="Jacket"/>
        <s v="Sofa"/>
        <s v="Tablet"/>
        <s v="Desk"/>
        <s v="Keyboard"/>
        <s v="Shoes"/>
        <s v="Bookshelf"/>
      </sharedItems>
    </cacheField>
    <cacheField name="Sales" numFmtId="0">
      <sharedItems containsSemiMixedTypes="0" containsString="0" containsNumber="1" containsInteger="1" minValue="6000" maxValue="65000" count="15">
        <n v="65000"/>
        <n v="12000"/>
        <n v="45000"/>
        <n v="8000"/>
        <n v="25000"/>
        <n v="9000"/>
        <n v="15000"/>
        <n v="28000"/>
        <n v="18000"/>
        <n v="55000"/>
        <n v="32000"/>
        <n v="22000"/>
        <n v="6000"/>
        <n v="14000"/>
        <n v="30000"/>
      </sharedItems>
    </cacheField>
    <cacheField name="Quantity" numFmtId="0">
      <sharedItems containsSemiMixedTypes="0" containsString="0" containsNumber="1" containsInteger="1" minValue="1" maxValue="10"/>
    </cacheField>
    <cacheField name="Profit" numFmtId="0">
      <sharedItems containsSemiMixedTypes="0" containsString="0" containsNumber="1" containsInteger="1" minValue="1200" maxValue="9000" count="13">
        <n v="8000"/>
        <n v="2500"/>
        <n v="6000"/>
        <n v="1800"/>
        <n v="5000"/>
        <n v="3500"/>
        <n v="4200"/>
        <n v="4000"/>
        <n v="9000"/>
        <n v="4500"/>
        <n v="1200"/>
        <n v="3000"/>
        <n v="5500"/>
      </sharedItems>
    </cacheField>
    <cacheField name="Months" numFmtId="0" databaseField="0">
      <fieldGroup base="1">
        <rangePr groupBy="months" startDate="2026-01-05T00:00:00" endDate="2026-04-26T00:00:00"/>
        <groupItems count="14">
          <s v="&lt;1/5/2026"/>
          <s v="Jan"/>
          <s v="Feb"/>
          <s v="Mar"/>
          <s v="Apr"/>
          <s v="May"/>
          <s v="Jun"/>
          <s v="Jul"/>
          <s v="Aug"/>
          <s v="Sep"/>
          <s v="Oct"/>
          <s v="Nov"/>
          <s v="Dec"/>
          <s v="&gt;4/26/2026"/>
        </groupItems>
      </fieldGroup>
    </cacheField>
  </cacheFields>
  <extLst>
    <ext xmlns:x14="http://schemas.microsoft.com/office/spreadsheetml/2009/9/main" uri="{725AE2AE-9491-48be-B2B4-4EB974FC3084}">
      <x14:pivotCacheDefinition pivotCacheId="1647374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1"/>
    <x v="0"/>
    <x v="0"/>
    <x v="0"/>
    <x v="0"/>
    <x v="0"/>
    <x v="0"/>
    <n v="2"/>
    <x v="0"/>
  </r>
  <r>
    <n v="102"/>
    <x v="1"/>
    <x v="1"/>
    <x v="1"/>
    <x v="1"/>
    <x v="1"/>
    <x v="1"/>
    <n v="5"/>
    <x v="1"/>
  </r>
  <r>
    <n v="103"/>
    <x v="2"/>
    <x v="2"/>
    <x v="0"/>
    <x v="0"/>
    <x v="2"/>
    <x v="2"/>
    <n v="3"/>
    <x v="2"/>
  </r>
  <r>
    <n v="104"/>
    <x v="3"/>
    <x v="3"/>
    <x v="2"/>
    <x v="2"/>
    <x v="3"/>
    <x v="3"/>
    <n v="10"/>
    <x v="3"/>
  </r>
  <r>
    <n v="105"/>
    <x v="4"/>
    <x v="4"/>
    <x v="3"/>
    <x v="1"/>
    <x v="4"/>
    <x v="4"/>
    <n v="2"/>
    <x v="4"/>
  </r>
  <r>
    <n v="106"/>
    <x v="5"/>
    <x v="5"/>
    <x v="0"/>
    <x v="0"/>
    <x v="5"/>
    <x v="5"/>
    <n v="6"/>
    <x v="3"/>
  </r>
  <r>
    <n v="107"/>
    <x v="6"/>
    <x v="6"/>
    <x v="1"/>
    <x v="2"/>
    <x v="6"/>
    <x v="6"/>
    <n v="5"/>
    <x v="5"/>
  </r>
  <r>
    <n v="108"/>
    <x v="7"/>
    <x v="7"/>
    <x v="2"/>
    <x v="0"/>
    <x v="7"/>
    <x v="7"/>
    <n v="2"/>
    <x v="6"/>
  </r>
  <r>
    <n v="109"/>
    <x v="8"/>
    <x v="8"/>
    <x v="3"/>
    <x v="2"/>
    <x v="8"/>
    <x v="8"/>
    <n v="4"/>
    <x v="7"/>
  </r>
  <r>
    <n v="110"/>
    <x v="9"/>
    <x v="9"/>
    <x v="0"/>
    <x v="1"/>
    <x v="9"/>
    <x v="9"/>
    <n v="1"/>
    <x v="8"/>
  </r>
  <r>
    <n v="111"/>
    <x v="10"/>
    <x v="10"/>
    <x v="1"/>
    <x v="0"/>
    <x v="10"/>
    <x v="10"/>
    <n v="2"/>
    <x v="4"/>
  </r>
  <r>
    <n v="112"/>
    <x v="11"/>
    <x v="11"/>
    <x v="2"/>
    <x v="1"/>
    <x v="11"/>
    <x v="11"/>
    <n v="3"/>
    <x v="9"/>
  </r>
  <r>
    <n v="113"/>
    <x v="12"/>
    <x v="12"/>
    <x v="3"/>
    <x v="0"/>
    <x v="12"/>
    <x v="12"/>
    <n v="8"/>
    <x v="10"/>
  </r>
  <r>
    <n v="114"/>
    <x v="13"/>
    <x v="13"/>
    <x v="0"/>
    <x v="2"/>
    <x v="13"/>
    <x v="13"/>
    <n v="4"/>
    <x v="11"/>
  </r>
  <r>
    <n v="115"/>
    <x v="14"/>
    <x v="14"/>
    <x v="1"/>
    <x v="1"/>
    <x v="14"/>
    <x v="14"/>
    <n v="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064846-D2BE-42E4-825A-E6F7A649B3AB}"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S3:U19" firstHeaderRow="0" firstDataRow="1" firstDataCol="1"/>
  <pivotFields count="1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6">
        <item x="0"/>
        <item x="14"/>
        <item x="11"/>
        <item x="9"/>
        <item x="3"/>
        <item x="5"/>
        <item x="10"/>
        <item x="13"/>
        <item x="2"/>
        <item x="6"/>
        <item x="4"/>
        <item x="7"/>
        <item x="1"/>
        <item x="12"/>
        <item x="8"/>
        <item t="default"/>
      </items>
    </pivotField>
    <pivotField showAll="0">
      <items count="5">
        <item x="3"/>
        <item x="1"/>
        <item x="2"/>
        <item x="0"/>
        <item t="default"/>
      </items>
    </pivotField>
    <pivotField showAll="0">
      <items count="4">
        <item x="2"/>
        <item x="0"/>
        <item x="1"/>
        <item t="default"/>
      </items>
    </pivotField>
    <pivotField axis="axisRow" showAll="0">
      <items count="16">
        <item x="14"/>
        <item x="1"/>
        <item x="11"/>
        <item x="5"/>
        <item x="8"/>
        <item x="6"/>
        <item x="12"/>
        <item x="0"/>
        <item x="2"/>
        <item x="7"/>
        <item x="3"/>
        <item x="13"/>
        <item x="9"/>
        <item x="4"/>
        <item x="10"/>
        <item t="default"/>
      </items>
    </pivotField>
    <pivotField dataField="1" showAll="0">
      <items count="16">
        <item x="12"/>
        <item x="3"/>
        <item x="5"/>
        <item x="1"/>
        <item x="13"/>
        <item x="6"/>
        <item x="8"/>
        <item x="11"/>
        <item x="4"/>
        <item x="7"/>
        <item x="14"/>
        <item x="10"/>
        <item x="2"/>
        <item x="9"/>
        <item x="0"/>
        <item t="default"/>
      </items>
    </pivotField>
    <pivotField showAll="0"/>
    <pivotField dataField="1" showAll="0">
      <items count="14">
        <item x="10"/>
        <item x="3"/>
        <item x="1"/>
        <item x="11"/>
        <item x="5"/>
        <item x="7"/>
        <item x="6"/>
        <item x="9"/>
        <item x="4"/>
        <item x="12"/>
        <item x="2"/>
        <item x="0"/>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Sales" fld="6" baseField="0" baseItem="0"/>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07FBDE-81B2-4A26-8D80-A947FDB5833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O3:P8" firstHeaderRow="1" firstDataRow="1" firstDataCol="1"/>
  <pivotFields count="1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16">
        <item x="0"/>
        <item x="14"/>
        <item x="11"/>
        <item x="9"/>
        <item x="3"/>
        <item x="5"/>
        <item x="10"/>
        <item x="13"/>
        <item x="2"/>
        <item x="6"/>
        <item x="4"/>
        <item x="7"/>
        <item x="1"/>
        <item x="12"/>
        <item x="8"/>
        <item t="default"/>
      </items>
    </pivotField>
    <pivotField axis="axisRow" showAll="0">
      <items count="5">
        <item x="3"/>
        <item x="1"/>
        <item x="2"/>
        <item x="0"/>
        <item t="default"/>
      </items>
    </pivotField>
    <pivotField showAll="0"/>
    <pivotField showAll="0">
      <items count="16">
        <item x="14"/>
        <item x="1"/>
        <item x="11"/>
        <item x="5"/>
        <item x="8"/>
        <item x="6"/>
        <item x="12"/>
        <item x="0"/>
        <item x="2"/>
        <item x="7"/>
        <item x="3"/>
        <item x="13"/>
        <item x="9"/>
        <item x="4"/>
        <item x="1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Count of Customer"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801D62-0F69-4989-8C74-CDA223C30C4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K3:L7" firstHeaderRow="1" firstDataRow="1" firstDataCol="1"/>
  <pivotFields count="1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4">
        <item x="2"/>
        <item x="0"/>
        <item x="1"/>
        <item t="default"/>
      </items>
    </pivotField>
    <pivotField showAll="0"/>
    <pivotField dataField="1" showAll="0">
      <items count="16">
        <item x="12"/>
        <item x="3"/>
        <item x="5"/>
        <item x="1"/>
        <item x="13"/>
        <item x="6"/>
        <item x="8"/>
        <item x="11"/>
        <item x="4"/>
        <item x="7"/>
        <item x="14"/>
        <item x="10"/>
        <item x="2"/>
        <item x="9"/>
        <item x="0"/>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CC19668-DB4A-40A8-B2C9-FFF4AFC67053}" sourceName="Category">
  <pivotTables>
    <pivotTable tabId="1" name="PivotTable2"/>
  </pivotTables>
  <data>
    <tabular pivotCacheId="164737486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36A07A94-CDCC-4316-87A3-FE0BC4ED09F0}" sourceName="Sales">
  <pivotTables>
    <pivotTable tabId="1" name="PivotTable2"/>
  </pivotTables>
  <data>
    <tabular pivotCacheId="1647374865">
      <items count="15">
        <i x="12" s="1"/>
        <i x="3" s="1"/>
        <i x="5" s="1"/>
        <i x="1" s="1"/>
        <i x="13" s="1"/>
        <i x="6" s="1"/>
        <i x="8" s="1"/>
        <i x="11" s="1"/>
        <i x="4" s="1"/>
        <i x="7" s="1"/>
        <i x="14" s="1"/>
        <i x="10" s="1"/>
        <i x="2" s="1"/>
        <i x="9"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E3940BB6-CE97-467E-8D9F-411A7D055497}" sourceName="Customer">
  <pivotTables>
    <pivotTable tabId="1" name="PivotTable3"/>
  </pivotTables>
  <data>
    <tabular pivotCacheId="1647374865">
      <items count="15">
        <i x="0" s="1"/>
        <i x="14" s="1"/>
        <i x="11" s="1"/>
        <i x="9" s="1"/>
        <i x="3" s="1"/>
        <i x="5" s="1"/>
        <i x="10" s="1"/>
        <i x="13" s="1"/>
        <i x="2" s="1"/>
        <i x="6" s="1"/>
        <i x="4" s="1"/>
        <i x="7" s="1"/>
        <i x="1" s="1"/>
        <i x="12"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60DE64-8ED0-474E-A278-2246F78C9C51}" sourceName="Region">
  <pivotTables>
    <pivotTable tabId="1" name="PivotTable3"/>
  </pivotTables>
  <data>
    <tabular pivotCacheId="1647374865">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0E46984-425E-45A6-ACA8-DABA640652C9}" sourceName="Product">
  <pivotTables>
    <pivotTable tabId="1" name="PivotTable4"/>
  </pivotTables>
  <data>
    <tabular pivotCacheId="1647374865">
      <items count="15">
        <i x="14" s="1"/>
        <i x="1" s="1"/>
        <i x="11" s="1"/>
        <i x="5" s="1"/>
        <i x="8" s="1"/>
        <i x="6" s="1"/>
        <i x="12" s="1"/>
        <i x="0" s="1"/>
        <i x="2" s="1"/>
        <i x="7" s="1"/>
        <i x="3" s="1"/>
        <i x="13" s="1"/>
        <i x="9" s="1"/>
        <i x="4" s="1"/>
        <i x="1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B71ED629-146B-48D4-BB66-1C826AF699AD}" sourceName="Sales">
  <pivotTables>
    <pivotTable tabId="1" name="PivotTable4"/>
  </pivotTables>
  <data>
    <tabular pivotCacheId="1647374865">
      <items count="15">
        <i x="12" s="1"/>
        <i x="3" s="1"/>
        <i x="5" s="1"/>
        <i x="1" s="1"/>
        <i x="13" s="1"/>
        <i x="6" s="1"/>
        <i x="8" s="1"/>
        <i x="11" s="1"/>
        <i x="4" s="1"/>
        <i x="7" s="1"/>
        <i x="14" s="1"/>
        <i x="10" s="1"/>
        <i x="2" s="1"/>
        <i x="9"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05DB3C3F-B8F1-4CB7-830A-67EE9041AA2B}" sourceName="Profit">
  <pivotTables>
    <pivotTable tabId="1" name="PivotTable4"/>
  </pivotTables>
  <data>
    <tabular pivotCacheId="1647374865">
      <items count="13">
        <i x="10" s="1"/>
        <i x="3" s="1"/>
        <i x="1" s="1"/>
        <i x="11" s="1"/>
        <i x="5" s="1"/>
        <i x="7" s="1"/>
        <i x="6" s="1"/>
        <i x="9" s="1"/>
        <i x="4" s="1"/>
        <i x="12" s="1"/>
        <i x="2" s="1"/>
        <i x="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9BF3983-632C-43A4-BB2C-5366CAA3F4F0}" cache="Slicer_Category" caption="Category" rowHeight="241300"/>
  <slicer name="Sales" xr10:uid="{352C5479-0BA9-401B-A9AB-E78BFDBA3C4A}" cache="Slicer_Sales" caption="Sales" rowHeight="241300"/>
  <slicer name="Customer" xr10:uid="{8FF7443E-274E-4DA1-9DB6-3BF36C14BAA0}" cache="Slicer_Customer" caption="Customer" rowHeight="241300"/>
  <slicer name="Region" xr10:uid="{7E0F7AFB-FBE8-4C8A-B5EA-74F54C8690B5}" cache="Slicer_Region" caption="Region" rowHeight="241300"/>
  <slicer name="Product" xr10:uid="{B6754164-A552-4C63-970C-03BCAF67F575}" cache="Slicer_Product" caption="Product" rowHeight="241300"/>
  <slicer name="Sales 1" xr10:uid="{CE3E8686-9921-4D6D-9FED-EAB477E7F2A9}" cache="Slicer_Sales1" caption="Sales" rowHeight="241300"/>
  <slicer name="Profit" xr10:uid="{9AF04396-2AC0-41FB-9326-9CBED8C51398}" cache="Slicer_Profit" caption="Profi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F24EFD-E1DF-40EC-92AA-1A32DACB497F}" name="Table2" displayName="Table2" ref="A1:L16" totalsRowShown="0" headerRowDxfId="1" dataDxfId="0">
  <autoFilter ref="A1:L16" xr:uid="{8340C8DA-D8E7-4206-8915-2180A879C538}"/>
  <tableColumns count="12">
    <tableColumn id="1" xr3:uid="{A4A78CA7-48E1-47E6-A118-7FC2FA32ACA3}" name="Roll No." dataDxfId="13"/>
    <tableColumn id="2" xr3:uid="{23DE8C71-0766-45BF-8B12-5CCDAD68CA33}" name="Name" dataDxfId="12"/>
    <tableColumn id="3" xr3:uid="{6B76F698-DF6B-481F-920C-16E77CF878B0}" name="1-Jan-26" dataDxfId="11"/>
    <tableColumn id="4" xr3:uid="{B3831090-EF1C-475A-BCF0-626793B52575}" name="2-Jan-26" dataDxfId="10"/>
    <tableColumn id="5" xr3:uid="{75120F84-A704-42CB-B564-2D87F3CB1370}" name="3-Jan-26" dataDxfId="9"/>
    <tableColumn id="6" xr3:uid="{0580D9F1-968D-4F44-AD5D-19BF49DF501D}" name="4-Jan-26" dataDxfId="8"/>
    <tableColumn id="7" xr3:uid="{5B38B780-876B-4D90-A70E-2D431BED0108}" name="5-Jan-26" dataDxfId="7"/>
    <tableColumn id="8" xr3:uid="{4BB5EB9B-C1AE-47EC-8E1C-7BEB495D256F}" name="6-Jan-26" dataDxfId="6"/>
    <tableColumn id="9" xr3:uid="{379B7080-8C33-4D5E-B13F-DC5089BCE1DB}" name="7-Jan-26" dataDxfId="5"/>
    <tableColumn id="10" xr3:uid="{F5C076A1-BC83-46CA-9D12-3751B0533237}" name="8-Jan-26" dataDxfId="4"/>
    <tableColumn id="11" xr3:uid="{817DF9AB-07DD-428A-ACAA-62C77102F791}" name="9-Jan-26" dataDxfId="3"/>
    <tableColumn id="12" xr3:uid="{DDBC6971-FE38-44B1-BE95-2C1CC3579F1D}" name="10-Jan-26"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ABFC30-0670-48BA-82AF-0F45D5EF054C}" name="Table1" displayName="Table1" ref="A8:F23" totalsRowShown="0" headerRowDxfId="26" dataDxfId="25">
  <autoFilter ref="A8:F23" xr:uid="{BE214A60-943C-4EAE-A4A3-833B34AD4E9E}"/>
  <tableColumns count="6">
    <tableColumn id="1" xr3:uid="{B0E11675-BFF2-4A42-91FF-8DCBA906F13B}" name="Date" dataDxfId="24"/>
    <tableColumn id="2" xr3:uid="{1A56469B-FCAC-474A-8F8A-696072F04046}" name="Product" dataDxfId="23"/>
    <tableColumn id="3" xr3:uid="{A6CF5EDA-5A5B-404C-96C1-E57C7A92E3A0}" name="Region" dataDxfId="22"/>
    <tableColumn id="4" xr3:uid="{35B121AF-AB54-42A7-B043-7BEEDAEEA2E8}" name="Salesperson" dataDxfId="21"/>
    <tableColumn id="5" xr3:uid="{650909F9-1B87-4FBD-AB4F-BAE3F53F3B81}" name="Sales" dataDxfId="20"/>
    <tableColumn id="6" xr3:uid="{F8D7A7D8-E474-46B2-A85D-4F1AC7E88DC2}" name="Quantity" dataDxfId="19"/>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
  <sheetViews>
    <sheetView zoomScale="39" workbookViewId="0">
      <selection activeCell="B44" sqref="B44"/>
    </sheetView>
  </sheetViews>
  <sheetFormatPr defaultRowHeight="14.4" x14ac:dyDescent="0.3"/>
  <cols>
    <col min="2" max="2" width="14.88671875" customWidth="1"/>
    <col min="3" max="3" width="12.21875" customWidth="1"/>
    <col min="4" max="4" width="10.77734375" customWidth="1"/>
    <col min="5" max="5" width="14.33203125" customWidth="1"/>
    <col min="6" max="6" width="13.33203125" customWidth="1"/>
    <col min="7" max="7" width="12.109375" customWidth="1"/>
    <col min="9" max="9" width="10.21875" customWidth="1"/>
    <col min="11" max="11" width="14.21875" bestFit="1" customWidth="1"/>
    <col min="12" max="12" width="11.44140625" bestFit="1" customWidth="1"/>
    <col min="13" max="13" width="9.77734375" bestFit="1" customWidth="1"/>
    <col min="14" max="14" width="8.6640625" bestFit="1" customWidth="1"/>
    <col min="15" max="15" width="20.44140625" bestFit="1" customWidth="1"/>
    <col min="16" max="16" width="23.109375" bestFit="1" customWidth="1"/>
    <col min="17" max="17" width="6.109375" bestFit="1" customWidth="1"/>
    <col min="18" max="18" width="5.88671875" bestFit="1" customWidth="1"/>
    <col min="19" max="19" width="20.44140625" bestFit="1" customWidth="1"/>
    <col min="20" max="20" width="15.88671875" bestFit="1" customWidth="1"/>
    <col min="21" max="21" width="16.77734375" bestFit="1" customWidth="1"/>
    <col min="22" max="22" width="6.5546875" bestFit="1" customWidth="1"/>
    <col min="23" max="23" width="6.109375" bestFit="1" customWidth="1"/>
    <col min="24" max="24" width="5.44140625" bestFit="1" customWidth="1"/>
    <col min="25" max="25" width="5.6640625" bestFit="1" customWidth="1"/>
    <col min="26" max="26" width="5.21875" bestFit="1" customWidth="1"/>
    <col min="27" max="27" width="5.6640625" bestFit="1" customWidth="1"/>
    <col min="28" max="29" width="4.33203125" bestFit="1" customWidth="1"/>
    <col min="30" max="30" width="6.109375" bestFit="1" customWidth="1"/>
    <col min="31" max="31" width="10.77734375" bestFit="1" customWidth="1"/>
  </cols>
  <sheetData>
    <row r="1" spans="1:21" x14ac:dyDescent="0.3">
      <c r="A1" s="2" t="s">
        <v>0</v>
      </c>
      <c r="B1" s="2" t="s">
        <v>1</v>
      </c>
      <c r="C1" s="2" t="s">
        <v>2</v>
      </c>
      <c r="D1" s="2" t="s">
        <v>3</v>
      </c>
      <c r="E1" s="2" t="s">
        <v>4</v>
      </c>
      <c r="F1" s="2" t="s">
        <v>5</v>
      </c>
      <c r="G1" s="2" t="s">
        <v>6</v>
      </c>
      <c r="H1" s="2" t="s">
        <v>7</v>
      </c>
      <c r="I1" s="2" t="s">
        <v>8</v>
      </c>
    </row>
    <row r="2" spans="1:21" x14ac:dyDescent="0.3">
      <c r="A2" s="1">
        <v>101</v>
      </c>
      <c r="B2" s="3">
        <v>46027</v>
      </c>
      <c r="C2" s="1" t="s">
        <v>9</v>
      </c>
      <c r="D2" s="1" t="s">
        <v>10</v>
      </c>
      <c r="E2" s="1" t="s">
        <v>11</v>
      </c>
      <c r="F2" s="1" t="s">
        <v>12</v>
      </c>
      <c r="G2" s="1">
        <v>65000</v>
      </c>
      <c r="H2" s="1">
        <v>2</v>
      </c>
      <c r="I2" s="1">
        <v>8000</v>
      </c>
    </row>
    <row r="3" spans="1:21" x14ac:dyDescent="0.3">
      <c r="A3" s="1">
        <v>102</v>
      </c>
      <c r="B3" s="3">
        <v>46034</v>
      </c>
      <c r="C3" s="1" t="s">
        <v>13</v>
      </c>
      <c r="D3" s="1" t="s">
        <v>14</v>
      </c>
      <c r="E3" s="1" t="s">
        <v>15</v>
      </c>
      <c r="F3" s="1" t="s">
        <v>16</v>
      </c>
      <c r="G3" s="1">
        <v>12000</v>
      </c>
      <c r="H3" s="1">
        <v>5</v>
      </c>
      <c r="I3" s="1">
        <v>2500</v>
      </c>
      <c r="K3" s="4" t="s">
        <v>47</v>
      </c>
      <c r="L3" t="s">
        <v>48</v>
      </c>
      <c r="O3" s="4" t="s">
        <v>47</v>
      </c>
      <c r="P3" t="s">
        <v>49</v>
      </c>
      <c r="S3" s="4" t="s">
        <v>47</v>
      </c>
      <c r="T3" t="s">
        <v>48</v>
      </c>
      <c r="U3" t="s">
        <v>50</v>
      </c>
    </row>
    <row r="4" spans="1:21" x14ac:dyDescent="0.3">
      <c r="A4" s="1">
        <v>103</v>
      </c>
      <c r="B4" s="3">
        <v>46040</v>
      </c>
      <c r="C4" s="1" t="s">
        <v>17</v>
      </c>
      <c r="D4" s="1" t="s">
        <v>10</v>
      </c>
      <c r="E4" s="1" t="s">
        <v>11</v>
      </c>
      <c r="F4" s="1" t="s">
        <v>18</v>
      </c>
      <c r="G4" s="1">
        <v>45000</v>
      </c>
      <c r="H4" s="1">
        <v>3</v>
      </c>
      <c r="I4" s="1">
        <v>6000</v>
      </c>
      <c r="K4" s="5" t="s">
        <v>21</v>
      </c>
      <c r="L4">
        <v>55000</v>
      </c>
      <c r="O4" s="5" t="s">
        <v>24</v>
      </c>
      <c r="P4">
        <v>3</v>
      </c>
      <c r="S4" s="5" t="s">
        <v>45</v>
      </c>
      <c r="T4">
        <v>30000</v>
      </c>
      <c r="U4">
        <v>5500</v>
      </c>
    </row>
    <row r="5" spans="1:21" x14ac:dyDescent="0.3">
      <c r="A5" s="1">
        <v>104</v>
      </c>
      <c r="B5" s="3">
        <v>46047</v>
      </c>
      <c r="C5" s="1" t="s">
        <v>19</v>
      </c>
      <c r="D5" s="1" t="s">
        <v>20</v>
      </c>
      <c r="E5" s="1" t="s">
        <v>21</v>
      </c>
      <c r="F5" s="1" t="s">
        <v>22</v>
      </c>
      <c r="G5" s="1">
        <v>8000</v>
      </c>
      <c r="H5" s="1">
        <v>10</v>
      </c>
      <c r="I5" s="1">
        <v>1800</v>
      </c>
      <c r="K5" s="5" t="s">
        <v>11</v>
      </c>
      <c r="L5">
        <v>185000</v>
      </c>
      <c r="O5" s="5" t="s">
        <v>14</v>
      </c>
      <c r="P5">
        <v>4</v>
      </c>
      <c r="S5" s="5" t="s">
        <v>16</v>
      </c>
      <c r="T5">
        <v>12000</v>
      </c>
      <c r="U5">
        <v>2500</v>
      </c>
    </row>
    <row r="6" spans="1:21" x14ac:dyDescent="0.3">
      <c r="A6" s="1">
        <v>105</v>
      </c>
      <c r="B6" s="3">
        <v>46056</v>
      </c>
      <c r="C6" s="1" t="s">
        <v>23</v>
      </c>
      <c r="D6" s="1" t="s">
        <v>24</v>
      </c>
      <c r="E6" s="1" t="s">
        <v>15</v>
      </c>
      <c r="F6" s="1" t="s">
        <v>25</v>
      </c>
      <c r="G6" s="1">
        <v>25000</v>
      </c>
      <c r="H6" s="1">
        <v>2</v>
      </c>
      <c r="I6" s="1">
        <v>5000</v>
      </c>
      <c r="K6" s="5" t="s">
        <v>15</v>
      </c>
      <c r="L6">
        <v>144000</v>
      </c>
      <c r="O6" s="5" t="s">
        <v>20</v>
      </c>
      <c r="P6">
        <v>3</v>
      </c>
      <c r="S6" s="5" t="s">
        <v>39</v>
      </c>
      <c r="T6">
        <v>22000</v>
      </c>
      <c r="U6">
        <v>4500</v>
      </c>
    </row>
    <row r="7" spans="1:21" x14ac:dyDescent="0.3">
      <c r="A7" s="1">
        <v>106</v>
      </c>
      <c r="B7" s="3">
        <v>46063</v>
      </c>
      <c r="C7" s="1" t="s">
        <v>26</v>
      </c>
      <c r="D7" s="1" t="s">
        <v>10</v>
      </c>
      <c r="E7" s="1" t="s">
        <v>11</v>
      </c>
      <c r="F7" s="1" t="s">
        <v>27</v>
      </c>
      <c r="G7" s="1">
        <v>9000</v>
      </c>
      <c r="H7" s="1">
        <v>6</v>
      </c>
      <c r="I7" s="1">
        <v>1800</v>
      </c>
      <c r="K7" s="5" t="s">
        <v>46</v>
      </c>
      <c r="L7">
        <v>384000</v>
      </c>
      <c r="O7" s="5" t="s">
        <v>10</v>
      </c>
      <c r="P7">
        <v>5</v>
      </c>
      <c r="S7" s="5" t="s">
        <v>27</v>
      </c>
      <c r="T7">
        <v>9000</v>
      </c>
      <c r="U7">
        <v>1800</v>
      </c>
    </row>
    <row r="8" spans="1:21" x14ac:dyDescent="0.3">
      <c r="A8" s="1">
        <v>107</v>
      </c>
      <c r="B8" s="3">
        <v>46070</v>
      </c>
      <c r="C8" s="1" t="s">
        <v>28</v>
      </c>
      <c r="D8" s="1" t="s">
        <v>14</v>
      </c>
      <c r="E8" s="1" t="s">
        <v>21</v>
      </c>
      <c r="F8" s="1" t="s">
        <v>29</v>
      </c>
      <c r="G8" s="1">
        <v>15000</v>
      </c>
      <c r="H8" s="1">
        <v>5</v>
      </c>
      <c r="I8" s="1">
        <v>3500</v>
      </c>
      <c r="O8" s="5" t="s">
        <v>46</v>
      </c>
      <c r="P8">
        <v>15</v>
      </c>
      <c r="S8" s="5" t="s">
        <v>33</v>
      </c>
      <c r="T8">
        <v>18000</v>
      </c>
      <c r="U8">
        <v>4000</v>
      </c>
    </row>
    <row r="9" spans="1:21" x14ac:dyDescent="0.3">
      <c r="A9" s="1">
        <v>108</v>
      </c>
      <c r="B9" s="3">
        <v>46077</v>
      </c>
      <c r="C9" s="1" t="s">
        <v>30</v>
      </c>
      <c r="D9" s="1" t="s">
        <v>20</v>
      </c>
      <c r="E9" s="1" t="s">
        <v>11</v>
      </c>
      <c r="F9" s="1" t="s">
        <v>31</v>
      </c>
      <c r="G9" s="1">
        <v>28000</v>
      </c>
      <c r="H9" s="1">
        <v>2</v>
      </c>
      <c r="I9" s="1">
        <v>4200</v>
      </c>
      <c r="S9" s="5" t="s">
        <v>29</v>
      </c>
      <c r="T9">
        <v>15000</v>
      </c>
      <c r="U9">
        <v>3500</v>
      </c>
    </row>
    <row r="10" spans="1:21" x14ac:dyDescent="0.3">
      <c r="A10" s="1">
        <v>109</v>
      </c>
      <c r="B10" s="3">
        <v>46086</v>
      </c>
      <c r="C10" s="1" t="s">
        <v>32</v>
      </c>
      <c r="D10" s="1" t="s">
        <v>24</v>
      </c>
      <c r="E10" s="1" t="s">
        <v>21</v>
      </c>
      <c r="F10" s="1" t="s">
        <v>33</v>
      </c>
      <c r="G10" s="1">
        <v>18000</v>
      </c>
      <c r="H10" s="1">
        <v>4</v>
      </c>
      <c r="I10" s="1">
        <v>4000</v>
      </c>
      <c r="S10" s="5" t="s">
        <v>41</v>
      </c>
      <c r="T10">
        <v>6000</v>
      </c>
      <c r="U10">
        <v>1200</v>
      </c>
    </row>
    <row r="11" spans="1:21" x14ac:dyDescent="0.3">
      <c r="A11" s="1">
        <v>110</v>
      </c>
      <c r="B11" s="3">
        <v>46093</v>
      </c>
      <c r="C11" s="1" t="s">
        <v>34</v>
      </c>
      <c r="D11" s="1" t="s">
        <v>10</v>
      </c>
      <c r="E11" s="1" t="s">
        <v>15</v>
      </c>
      <c r="F11" s="1" t="s">
        <v>35</v>
      </c>
      <c r="G11" s="1">
        <v>55000</v>
      </c>
      <c r="H11" s="1">
        <v>1</v>
      </c>
      <c r="I11" s="1">
        <v>9000</v>
      </c>
      <c r="S11" s="5" t="s">
        <v>12</v>
      </c>
      <c r="T11">
        <v>65000</v>
      </c>
      <c r="U11">
        <v>8000</v>
      </c>
    </row>
    <row r="12" spans="1:21" x14ac:dyDescent="0.3">
      <c r="A12" s="1">
        <v>111</v>
      </c>
      <c r="B12" s="3">
        <v>46100</v>
      </c>
      <c r="C12" s="1" t="s">
        <v>36</v>
      </c>
      <c r="D12" s="1" t="s">
        <v>14</v>
      </c>
      <c r="E12" s="1" t="s">
        <v>11</v>
      </c>
      <c r="F12" s="1" t="s">
        <v>37</v>
      </c>
      <c r="G12" s="1">
        <v>32000</v>
      </c>
      <c r="H12" s="1">
        <v>2</v>
      </c>
      <c r="I12" s="1">
        <v>5000</v>
      </c>
      <c r="S12" s="5" t="s">
        <v>18</v>
      </c>
      <c r="T12">
        <v>45000</v>
      </c>
      <c r="U12">
        <v>6000</v>
      </c>
    </row>
    <row r="13" spans="1:21" x14ac:dyDescent="0.3">
      <c r="A13" s="1">
        <v>112</v>
      </c>
      <c r="B13" s="3">
        <v>46107</v>
      </c>
      <c r="C13" s="1" t="s">
        <v>38</v>
      </c>
      <c r="D13" s="1" t="s">
        <v>20</v>
      </c>
      <c r="E13" s="1" t="s">
        <v>15</v>
      </c>
      <c r="F13" s="1" t="s">
        <v>39</v>
      </c>
      <c r="G13" s="1">
        <v>22000</v>
      </c>
      <c r="H13" s="1">
        <v>3</v>
      </c>
      <c r="I13" s="1">
        <v>4500</v>
      </c>
      <c r="S13" s="5" t="s">
        <v>31</v>
      </c>
      <c r="T13">
        <v>28000</v>
      </c>
      <c r="U13">
        <v>4200</v>
      </c>
    </row>
    <row r="14" spans="1:21" x14ac:dyDescent="0.3">
      <c r="A14" s="1">
        <v>113</v>
      </c>
      <c r="B14" s="3">
        <v>46117</v>
      </c>
      <c r="C14" s="1" t="s">
        <v>40</v>
      </c>
      <c r="D14" s="1" t="s">
        <v>24</v>
      </c>
      <c r="E14" s="1" t="s">
        <v>11</v>
      </c>
      <c r="F14" s="1" t="s">
        <v>41</v>
      </c>
      <c r="G14" s="1">
        <v>6000</v>
      </c>
      <c r="H14" s="1">
        <v>8</v>
      </c>
      <c r="I14" s="1">
        <v>1200</v>
      </c>
      <c r="S14" s="5" t="s">
        <v>22</v>
      </c>
      <c r="T14">
        <v>8000</v>
      </c>
      <c r="U14">
        <v>1800</v>
      </c>
    </row>
    <row r="15" spans="1:21" x14ac:dyDescent="0.3">
      <c r="A15" s="1">
        <v>114</v>
      </c>
      <c r="B15" s="3">
        <v>46127</v>
      </c>
      <c r="C15" s="1" t="s">
        <v>42</v>
      </c>
      <c r="D15" s="1" t="s">
        <v>10</v>
      </c>
      <c r="E15" s="1" t="s">
        <v>21</v>
      </c>
      <c r="F15" s="1" t="s">
        <v>43</v>
      </c>
      <c r="G15" s="1">
        <v>14000</v>
      </c>
      <c r="H15" s="1">
        <v>4</v>
      </c>
      <c r="I15" s="1">
        <v>3000</v>
      </c>
      <c r="S15" s="5" t="s">
        <v>43</v>
      </c>
      <c r="T15">
        <v>14000</v>
      </c>
      <c r="U15">
        <v>3000</v>
      </c>
    </row>
    <row r="16" spans="1:21" x14ac:dyDescent="0.3">
      <c r="A16" s="1">
        <v>115</v>
      </c>
      <c r="B16" s="3">
        <v>46137</v>
      </c>
      <c r="C16" s="1" t="s">
        <v>44</v>
      </c>
      <c r="D16" s="1" t="s">
        <v>14</v>
      </c>
      <c r="E16" s="1" t="s">
        <v>15</v>
      </c>
      <c r="F16" s="1" t="s">
        <v>45</v>
      </c>
      <c r="G16" s="1">
        <v>30000</v>
      </c>
      <c r="H16" s="1">
        <v>2</v>
      </c>
      <c r="I16" s="1">
        <v>5500</v>
      </c>
      <c r="S16" s="5" t="s">
        <v>35</v>
      </c>
      <c r="T16">
        <v>55000</v>
      </c>
      <c r="U16">
        <v>9000</v>
      </c>
    </row>
    <row r="17" spans="19:21" x14ac:dyDescent="0.3">
      <c r="S17" s="5" t="s">
        <v>25</v>
      </c>
      <c r="T17">
        <v>25000</v>
      </c>
      <c r="U17">
        <v>5000</v>
      </c>
    </row>
    <row r="18" spans="19:21" x14ac:dyDescent="0.3">
      <c r="S18" s="5" t="s">
        <v>37</v>
      </c>
      <c r="T18">
        <v>32000</v>
      </c>
      <c r="U18">
        <v>5000</v>
      </c>
    </row>
    <row r="19" spans="19:21" x14ac:dyDescent="0.3">
      <c r="S19" s="5" t="s">
        <v>46</v>
      </c>
      <c r="T19">
        <v>384000</v>
      </c>
      <c r="U19">
        <v>65000</v>
      </c>
    </row>
  </sheetData>
  <conditionalFormatting sqref="G2:G16">
    <cfRule type="cellIs" dxfId="18" priority="1" operator="greaterThan">
      <formula>25000</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522D-BDE9-41BB-9D2F-F06FE4990898}">
  <dimension ref="A1:J16"/>
  <sheetViews>
    <sheetView workbookViewId="0">
      <selection activeCell="I6" sqref="I6"/>
    </sheetView>
  </sheetViews>
  <sheetFormatPr defaultRowHeight="14.4" x14ac:dyDescent="0.3"/>
  <cols>
    <col min="1" max="1" width="12.44140625" customWidth="1"/>
    <col min="2" max="2" width="17.77734375" customWidth="1"/>
    <col min="3" max="3" width="13.21875" customWidth="1"/>
    <col min="4" max="4" width="12.21875" customWidth="1"/>
    <col min="5" max="5" width="10.33203125" customWidth="1"/>
    <col min="6" max="7" width="12.33203125" customWidth="1"/>
    <col min="10" max="10" width="13.88671875" customWidth="1"/>
  </cols>
  <sheetData>
    <row r="1" spans="1:10" ht="28.8" x14ac:dyDescent="0.3">
      <c r="A1" s="2" t="s">
        <v>82</v>
      </c>
      <c r="B1" s="2" t="s">
        <v>81</v>
      </c>
      <c r="C1" s="2" t="s">
        <v>80</v>
      </c>
      <c r="D1" s="2" t="s">
        <v>79</v>
      </c>
      <c r="E1" s="2" t="s">
        <v>78</v>
      </c>
      <c r="F1" s="2" t="s">
        <v>77</v>
      </c>
      <c r="G1" s="2"/>
      <c r="H1" s="2" t="s">
        <v>76</v>
      </c>
      <c r="I1" s="2" t="s">
        <v>75</v>
      </c>
      <c r="J1" s="2" t="s">
        <v>74</v>
      </c>
    </row>
    <row r="2" spans="1:10" x14ac:dyDescent="0.3">
      <c r="A2" s="1">
        <v>101</v>
      </c>
      <c r="B2" s="1" t="s">
        <v>73</v>
      </c>
      <c r="C2" s="1" t="s">
        <v>52</v>
      </c>
      <c r="D2" s="1" t="s">
        <v>51</v>
      </c>
      <c r="E2" s="1">
        <v>45000</v>
      </c>
      <c r="F2" s="1">
        <v>2</v>
      </c>
      <c r="G2" s="1"/>
      <c r="H2" s="1">
        <v>113</v>
      </c>
      <c r="I2" s="6">
        <f>MATCH(H2, A2:A16, )</f>
        <v>13</v>
      </c>
      <c r="J2" s="6" t="str">
        <f>INDEX(D2:D16, MATCH(H2, A2:A16, 0))</f>
        <v>Ahmedabad</v>
      </c>
    </row>
    <row r="3" spans="1:10" x14ac:dyDescent="0.3">
      <c r="A3" s="1">
        <v>102</v>
      </c>
      <c r="B3" s="1" t="s">
        <v>72</v>
      </c>
      <c r="C3" s="1" t="s">
        <v>63</v>
      </c>
      <c r="D3" s="1" t="s">
        <v>56</v>
      </c>
      <c r="E3" s="1">
        <v>42000</v>
      </c>
      <c r="F3" s="1">
        <v>3</v>
      </c>
      <c r="G3" s="1"/>
      <c r="H3" s="1"/>
      <c r="I3" s="6"/>
      <c r="J3" s="6"/>
    </row>
    <row r="4" spans="1:10" x14ac:dyDescent="0.3">
      <c r="A4" s="1">
        <v>103</v>
      </c>
      <c r="B4" s="1" t="s">
        <v>71</v>
      </c>
      <c r="C4" s="1" t="s">
        <v>57</v>
      </c>
      <c r="D4" s="1" t="s">
        <v>62</v>
      </c>
      <c r="E4" s="1">
        <v>55000</v>
      </c>
      <c r="F4" s="1">
        <v>5</v>
      </c>
      <c r="G4" s="1"/>
      <c r="H4" s="1"/>
      <c r="I4" s="6"/>
      <c r="J4" s="6"/>
    </row>
    <row r="5" spans="1:10" x14ac:dyDescent="0.3">
      <c r="A5" s="1">
        <v>104</v>
      </c>
      <c r="B5" s="1" t="s">
        <v>70</v>
      </c>
      <c r="C5" s="1" t="s">
        <v>52</v>
      </c>
      <c r="D5" s="1" t="s">
        <v>54</v>
      </c>
      <c r="E5" s="1">
        <v>50000</v>
      </c>
      <c r="F5" s="1">
        <v>4</v>
      </c>
      <c r="G5" s="1"/>
      <c r="H5" s="1"/>
      <c r="I5" s="6"/>
      <c r="J5" s="6"/>
    </row>
    <row r="6" spans="1:10" x14ac:dyDescent="0.3">
      <c r="A6" s="1">
        <v>105</v>
      </c>
      <c r="B6" s="1" t="s">
        <v>69</v>
      </c>
      <c r="C6" s="1" t="s">
        <v>6</v>
      </c>
      <c r="D6" s="1" t="s">
        <v>51</v>
      </c>
      <c r="E6" s="1">
        <v>48000</v>
      </c>
      <c r="F6" s="1">
        <v>3</v>
      </c>
      <c r="G6" s="1"/>
      <c r="H6" s="1"/>
      <c r="I6" s="6"/>
      <c r="J6" s="6"/>
    </row>
    <row r="7" spans="1:10" x14ac:dyDescent="0.3">
      <c r="A7" s="1">
        <v>106</v>
      </c>
      <c r="B7" s="1" t="s">
        <v>68</v>
      </c>
      <c r="C7" s="1" t="s">
        <v>59</v>
      </c>
      <c r="D7" s="1" t="s">
        <v>56</v>
      </c>
      <c r="E7" s="1">
        <v>46000</v>
      </c>
      <c r="F7" s="1">
        <v>2</v>
      </c>
      <c r="G7" s="1"/>
      <c r="H7" s="1"/>
    </row>
    <row r="8" spans="1:10" x14ac:dyDescent="0.3">
      <c r="A8" s="1">
        <v>107</v>
      </c>
      <c r="B8" s="1" t="s">
        <v>67</v>
      </c>
      <c r="C8" s="1" t="s">
        <v>52</v>
      </c>
      <c r="D8" s="1" t="s">
        <v>62</v>
      </c>
      <c r="E8" s="1">
        <v>62000</v>
      </c>
      <c r="F8" s="1">
        <v>6</v>
      </c>
      <c r="G8" s="1"/>
      <c r="H8" s="1"/>
    </row>
    <row r="9" spans="1:10" x14ac:dyDescent="0.3">
      <c r="A9" s="1">
        <v>108</v>
      </c>
      <c r="B9" s="1" t="s">
        <v>66</v>
      </c>
      <c r="C9" s="1" t="s">
        <v>57</v>
      </c>
      <c r="D9" s="1" t="s">
        <v>54</v>
      </c>
      <c r="E9" s="1">
        <v>58000</v>
      </c>
      <c r="F9" s="1">
        <v>5</v>
      </c>
      <c r="G9" s="1"/>
      <c r="H9" s="1"/>
    </row>
    <row r="10" spans="1:10" x14ac:dyDescent="0.3">
      <c r="A10" s="1">
        <v>109</v>
      </c>
      <c r="B10" s="1" t="s">
        <v>65</v>
      </c>
      <c r="C10" s="1" t="s">
        <v>6</v>
      </c>
      <c r="D10" s="1" t="s">
        <v>51</v>
      </c>
      <c r="E10" s="1">
        <v>52000</v>
      </c>
      <c r="F10" s="1">
        <v>4</v>
      </c>
      <c r="G10" s="1"/>
      <c r="H10" s="1"/>
    </row>
    <row r="11" spans="1:10" x14ac:dyDescent="0.3">
      <c r="A11" s="1">
        <v>110</v>
      </c>
      <c r="B11" s="1" t="s">
        <v>64</v>
      </c>
      <c r="C11" s="1" t="s">
        <v>63</v>
      </c>
      <c r="D11" s="1" t="s">
        <v>62</v>
      </c>
      <c r="E11" s="1">
        <v>44000</v>
      </c>
      <c r="F11" s="1">
        <v>2</v>
      </c>
      <c r="G11" s="1"/>
      <c r="H11" s="1"/>
    </row>
    <row r="12" spans="1:10" x14ac:dyDescent="0.3">
      <c r="A12" s="1">
        <v>111</v>
      </c>
      <c r="B12" s="1" t="s">
        <v>61</v>
      </c>
      <c r="C12" s="1" t="s">
        <v>52</v>
      </c>
      <c r="D12" s="1" t="s">
        <v>56</v>
      </c>
      <c r="E12" s="1">
        <v>68000</v>
      </c>
      <c r="F12" s="1">
        <v>7</v>
      </c>
      <c r="G12" s="1"/>
      <c r="H12" s="1"/>
    </row>
    <row r="13" spans="1:10" x14ac:dyDescent="0.3">
      <c r="A13" s="1">
        <v>112</v>
      </c>
      <c r="B13" s="1" t="s">
        <v>60</v>
      </c>
      <c r="C13" s="1" t="s">
        <v>59</v>
      </c>
      <c r="D13" s="1" t="s">
        <v>51</v>
      </c>
      <c r="E13" s="1">
        <v>49000</v>
      </c>
      <c r="F13" s="1">
        <v>3</v>
      </c>
      <c r="G13" s="1"/>
      <c r="H13" s="1"/>
    </row>
    <row r="14" spans="1:10" x14ac:dyDescent="0.3">
      <c r="A14" s="1">
        <v>113</v>
      </c>
      <c r="B14" s="1" t="s">
        <v>58</v>
      </c>
      <c r="C14" s="1" t="s">
        <v>57</v>
      </c>
      <c r="D14" s="1" t="s">
        <v>56</v>
      </c>
      <c r="E14" s="1">
        <v>61000</v>
      </c>
      <c r="F14" s="1">
        <v>6</v>
      </c>
      <c r="G14" s="1"/>
      <c r="H14" s="1"/>
    </row>
    <row r="15" spans="1:10" x14ac:dyDescent="0.3">
      <c r="A15" s="1">
        <v>114</v>
      </c>
      <c r="B15" s="1" t="s">
        <v>55</v>
      </c>
      <c r="C15" s="1" t="s">
        <v>6</v>
      </c>
      <c r="D15" s="1" t="s">
        <v>54</v>
      </c>
      <c r="E15" s="1">
        <v>54000</v>
      </c>
      <c r="F15" s="1">
        <v>5</v>
      </c>
      <c r="G15" s="1"/>
      <c r="H15" s="1"/>
    </row>
    <row r="16" spans="1:10" x14ac:dyDescent="0.3">
      <c r="A16" s="1">
        <v>115</v>
      </c>
      <c r="B16" s="1" t="s">
        <v>53</v>
      </c>
      <c r="C16" s="1" t="s">
        <v>52</v>
      </c>
      <c r="D16" s="1" t="s">
        <v>51</v>
      </c>
      <c r="E16" s="1">
        <v>72000</v>
      </c>
      <c r="F16" s="1">
        <v>8</v>
      </c>
      <c r="G16" s="1"/>
      <c r="H1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70225-D9BA-45E9-A672-606BF8664E91}">
  <dimension ref="A1:M24"/>
  <sheetViews>
    <sheetView tabSelected="1" zoomScaleNormal="100" workbookViewId="0">
      <selection activeCell="F28" sqref="F28"/>
    </sheetView>
  </sheetViews>
  <sheetFormatPr defaultColWidth="8.77734375" defaultRowHeight="14.4" x14ac:dyDescent="0.3"/>
  <cols>
    <col min="1" max="1" width="9.21875" style="7" customWidth="1"/>
    <col min="2" max="2" width="8.77734375" style="7"/>
    <col min="3" max="6" width="9.77734375" style="7" customWidth="1"/>
    <col min="7" max="7" width="11.21875" style="7" customWidth="1"/>
    <col min="8" max="8" width="12.44140625" style="7" customWidth="1"/>
    <col min="9" max="9" width="11.5546875" style="7" customWidth="1"/>
    <col min="10" max="10" width="9.77734375" style="7" customWidth="1"/>
    <col min="11" max="11" width="11" style="7" customWidth="1"/>
    <col min="12" max="12" width="10.77734375" style="7" customWidth="1"/>
    <col min="13" max="13" width="10.44140625" style="7" customWidth="1"/>
    <col min="14" max="16384" width="8.77734375" style="7"/>
  </cols>
  <sheetData>
    <row r="1" spans="1:13" x14ac:dyDescent="0.3">
      <c r="A1" s="12" t="s">
        <v>97</v>
      </c>
      <c r="B1" s="12" t="s">
        <v>96</v>
      </c>
      <c r="C1" s="13" t="s">
        <v>119</v>
      </c>
      <c r="D1" s="13" t="s">
        <v>120</v>
      </c>
      <c r="E1" s="13" t="s">
        <v>121</v>
      </c>
      <c r="F1" s="13" t="s">
        <v>122</v>
      </c>
      <c r="G1" s="13" t="s">
        <v>123</v>
      </c>
      <c r="H1" s="13" t="s">
        <v>124</v>
      </c>
      <c r="I1" s="13" t="s">
        <v>125</v>
      </c>
      <c r="J1" s="13" t="s">
        <v>126</v>
      </c>
      <c r="K1" s="13" t="s">
        <v>127</v>
      </c>
      <c r="L1" s="13" t="s">
        <v>128</v>
      </c>
      <c r="M1" s="8"/>
    </row>
    <row r="2" spans="1:13" x14ac:dyDescent="0.3">
      <c r="A2" s="14">
        <v>101</v>
      </c>
      <c r="B2" s="15" t="s">
        <v>9</v>
      </c>
      <c r="C2" s="16" t="s">
        <v>95</v>
      </c>
      <c r="D2" s="14"/>
      <c r="E2" s="14"/>
      <c r="F2" s="14"/>
      <c r="G2" s="14"/>
      <c r="H2" s="14"/>
      <c r="I2" s="14"/>
      <c r="J2" s="14"/>
      <c r="K2" s="14"/>
      <c r="L2" s="14"/>
    </row>
    <row r="3" spans="1:13" x14ac:dyDescent="0.3">
      <c r="A3" s="14">
        <v>102</v>
      </c>
      <c r="B3" s="15" t="s">
        <v>13</v>
      </c>
      <c r="C3" s="16" t="s">
        <v>94</v>
      </c>
      <c r="D3" s="14"/>
      <c r="E3" s="14"/>
      <c r="F3" s="14"/>
      <c r="G3" s="14"/>
      <c r="H3" s="14"/>
      <c r="I3" s="14"/>
      <c r="J3" s="14"/>
      <c r="K3" s="14"/>
      <c r="L3" s="14"/>
    </row>
    <row r="4" spans="1:13" x14ac:dyDescent="0.3">
      <c r="A4" s="14">
        <v>103</v>
      </c>
      <c r="B4" s="15" t="s">
        <v>17</v>
      </c>
      <c r="C4" s="16" t="s">
        <v>94</v>
      </c>
      <c r="D4" s="14"/>
      <c r="E4" s="14"/>
      <c r="F4" s="14"/>
      <c r="G4" s="14"/>
      <c r="H4" s="14"/>
      <c r="I4" s="14"/>
      <c r="J4" s="14"/>
      <c r="K4" s="14"/>
      <c r="L4" s="14"/>
    </row>
    <row r="5" spans="1:13" x14ac:dyDescent="0.3">
      <c r="A5" s="14">
        <v>104</v>
      </c>
      <c r="B5" s="15" t="s">
        <v>19</v>
      </c>
      <c r="C5" s="16"/>
      <c r="D5" s="14"/>
      <c r="E5" s="14"/>
      <c r="F5" s="14"/>
      <c r="G5" s="14"/>
      <c r="H5" s="14"/>
      <c r="I5" s="14"/>
      <c r="J5" s="14"/>
      <c r="K5" s="14"/>
      <c r="L5" s="14"/>
    </row>
    <row r="6" spans="1:13" x14ac:dyDescent="0.3">
      <c r="A6" s="14">
        <v>105</v>
      </c>
      <c r="B6" s="15" t="s">
        <v>23</v>
      </c>
      <c r="C6" s="16"/>
      <c r="D6" s="14"/>
      <c r="E6" s="14"/>
      <c r="F6" s="14"/>
      <c r="G6" s="14"/>
      <c r="H6" s="14"/>
      <c r="I6" s="14"/>
      <c r="J6" s="14"/>
      <c r="K6" s="14"/>
      <c r="L6" s="14"/>
    </row>
    <row r="7" spans="1:13" x14ac:dyDescent="0.3">
      <c r="A7" s="14">
        <v>106</v>
      </c>
      <c r="B7" s="15" t="s">
        <v>26</v>
      </c>
      <c r="C7" s="16"/>
      <c r="D7" s="14"/>
      <c r="E7" s="14" t="s">
        <v>94</v>
      </c>
      <c r="F7" s="14"/>
      <c r="G7" s="14"/>
      <c r="H7" s="14"/>
      <c r="I7" s="14"/>
      <c r="J7" s="14"/>
      <c r="K7" s="14"/>
      <c r="L7" s="14"/>
    </row>
    <row r="8" spans="1:13" x14ac:dyDescent="0.3">
      <c r="A8" s="14">
        <v>107</v>
      </c>
      <c r="B8" s="15" t="s">
        <v>28</v>
      </c>
      <c r="C8" s="16"/>
      <c r="D8" s="14"/>
      <c r="E8" s="14"/>
      <c r="F8" s="14"/>
      <c r="G8" s="14"/>
      <c r="H8" s="14"/>
      <c r="I8" s="14"/>
      <c r="J8" s="14"/>
      <c r="K8" s="14"/>
      <c r="L8" s="14"/>
    </row>
    <row r="9" spans="1:13" x14ac:dyDescent="0.3">
      <c r="A9" s="14">
        <v>108</v>
      </c>
      <c r="B9" s="15" t="s">
        <v>30</v>
      </c>
      <c r="C9" s="16"/>
      <c r="D9" s="14"/>
      <c r="E9" s="14" t="s">
        <v>95</v>
      </c>
      <c r="F9" s="14"/>
      <c r="G9" s="14"/>
      <c r="H9" s="14"/>
      <c r="I9" s="14"/>
      <c r="J9" s="14"/>
      <c r="K9" s="14"/>
      <c r="L9" s="14"/>
    </row>
    <row r="10" spans="1:13" x14ac:dyDescent="0.3">
      <c r="A10" s="14">
        <v>109</v>
      </c>
      <c r="B10" s="15" t="s">
        <v>32</v>
      </c>
      <c r="C10" s="16"/>
      <c r="D10" s="14"/>
      <c r="E10" s="14"/>
      <c r="F10" s="14"/>
      <c r="G10" s="14"/>
      <c r="H10" s="14"/>
      <c r="I10" s="14"/>
      <c r="J10" s="14"/>
      <c r="K10" s="14"/>
      <c r="L10" s="14"/>
    </row>
    <row r="11" spans="1:13" x14ac:dyDescent="0.3">
      <c r="A11" s="14">
        <v>110</v>
      </c>
      <c r="B11" s="15" t="s">
        <v>34</v>
      </c>
      <c r="C11" s="16"/>
      <c r="D11" s="14"/>
      <c r="E11" s="14"/>
      <c r="F11" s="14"/>
      <c r="G11" s="14"/>
      <c r="H11" s="14"/>
      <c r="I11" s="14"/>
      <c r="J11" s="14"/>
      <c r="K11" s="14"/>
      <c r="L11" s="14"/>
    </row>
    <row r="12" spans="1:13" x14ac:dyDescent="0.3">
      <c r="A12" s="14">
        <v>111</v>
      </c>
      <c r="B12" s="15" t="s">
        <v>36</v>
      </c>
      <c r="C12" s="16"/>
      <c r="D12" s="14"/>
      <c r="E12" s="14"/>
      <c r="F12" s="14"/>
      <c r="G12" s="14"/>
      <c r="H12" s="14"/>
      <c r="I12" s="14"/>
      <c r="J12" s="14"/>
      <c r="K12" s="14"/>
      <c r="L12" s="14"/>
    </row>
    <row r="13" spans="1:13" x14ac:dyDescent="0.3">
      <c r="A13" s="14">
        <v>112</v>
      </c>
      <c r="B13" s="15" t="s">
        <v>38</v>
      </c>
      <c r="C13" s="16"/>
      <c r="D13" s="14"/>
      <c r="E13" s="14"/>
      <c r="F13" s="14"/>
      <c r="G13" s="14"/>
      <c r="H13" s="14"/>
      <c r="I13" s="14"/>
      <c r="J13" s="14"/>
      <c r="K13" s="14"/>
      <c r="L13" s="14"/>
    </row>
    <row r="14" spans="1:13" x14ac:dyDescent="0.3">
      <c r="A14" s="14">
        <v>113</v>
      </c>
      <c r="B14" s="15" t="s">
        <v>40</v>
      </c>
      <c r="C14" s="16"/>
      <c r="D14" s="14"/>
      <c r="E14" s="14"/>
      <c r="F14" s="14"/>
      <c r="G14" s="14"/>
      <c r="H14" s="14"/>
      <c r="I14" s="14"/>
      <c r="J14" s="14"/>
      <c r="K14" s="14"/>
      <c r="L14" s="14"/>
    </row>
    <row r="15" spans="1:13" x14ac:dyDescent="0.3">
      <c r="A15" s="14">
        <v>114</v>
      </c>
      <c r="B15" s="15" t="s">
        <v>42</v>
      </c>
      <c r="C15" s="16"/>
      <c r="D15" s="14"/>
      <c r="E15" s="14"/>
      <c r="F15" s="14"/>
      <c r="G15" s="14"/>
      <c r="H15" s="14"/>
      <c r="I15" s="14"/>
      <c r="J15" s="14"/>
      <c r="K15" s="14"/>
      <c r="L15" s="14"/>
    </row>
    <row r="16" spans="1:13" x14ac:dyDescent="0.3">
      <c r="A16" s="14">
        <v>115</v>
      </c>
      <c r="B16" s="15" t="s">
        <v>44</v>
      </c>
      <c r="C16" s="16"/>
      <c r="D16" s="14"/>
      <c r="E16" s="14"/>
      <c r="F16" s="14"/>
      <c r="G16" s="14"/>
      <c r="H16" s="14"/>
      <c r="I16" s="14"/>
      <c r="J16" s="14"/>
      <c r="K16" s="14"/>
      <c r="L16" s="14"/>
    </row>
    <row r="17" spans="1:12" x14ac:dyDescent="0.3">
      <c r="A17" s="14"/>
      <c r="B17" s="14"/>
      <c r="C17" s="14"/>
      <c r="D17" s="14"/>
      <c r="E17" s="14"/>
      <c r="F17" s="14"/>
      <c r="G17" s="14"/>
      <c r="H17" s="14"/>
      <c r="I17" s="14"/>
      <c r="J17" s="14"/>
      <c r="K17" s="14"/>
      <c r="L17" s="14"/>
    </row>
    <row r="19" spans="1:12" x14ac:dyDescent="0.3">
      <c r="A19" s="7" t="s">
        <v>93</v>
      </c>
      <c r="B19" s="7" t="s">
        <v>92</v>
      </c>
      <c r="C19" s="7" t="s">
        <v>91</v>
      </c>
      <c r="D19" s="7" t="s">
        <v>90</v>
      </c>
      <c r="E19" s="7" t="s">
        <v>89</v>
      </c>
      <c r="F19" s="7" t="s">
        <v>88</v>
      </c>
    </row>
    <row r="20" spans="1:12" x14ac:dyDescent="0.3">
      <c r="A20" s="7">
        <v>101</v>
      </c>
      <c r="B20" s="7" t="s">
        <v>87</v>
      </c>
      <c r="C20" s="7">
        <v>78</v>
      </c>
      <c r="D20" s="7">
        <v>85</v>
      </c>
      <c r="E20" s="7">
        <v>37</v>
      </c>
      <c r="F20" s="7">
        <f>SUM(C20:E20)</f>
        <v>200</v>
      </c>
    </row>
    <row r="21" spans="1:12" x14ac:dyDescent="0.3">
      <c r="A21" s="7">
        <v>102</v>
      </c>
      <c r="B21" s="7" t="s">
        <v>86</v>
      </c>
      <c r="C21" s="7">
        <v>92</v>
      </c>
      <c r="D21" s="7">
        <v>88</v>
      </c>
      <c r="F21" s="7">
        <f>SUM(C21:E21)</f>
        <v>180</v>
      </c>
    </row>
    <row r="22" spans="1:12" x14ac:dyDescent="0.3">
      <c r="A22" s="7">
        <v>103</v>
      </c>
      <c r="B22" s="7" t="s">
        <v>85</v>
      </c>
      <c r="C22" s="7">
        <v>65</v>
      </c>
      <c r="D22" s="7">
        <v>74</v>
      </c>
      <c r="F22" s="7">
        <f>SUM(C22:E22)</f>
        <v>139</v>
      </c>
    </row>
    <row r="23" spans="1:12" x14ac:dyDescent="0.3">
      <c r="A23" s="7">
        <v>104</v>
      </c>
      <c r="B23" s="7" t="s">
        <v>84</v>
      </c>
      <c r="C23" s="7">
        <v>81</v>
      </c>
      <c r="D23" s="7">
        <v>79</v>
      </c>
      <c r="F23" s="7">
        <f>SUM(C23:E23)</f>
        <v>160</v>
      </c>
    </row>
    <row r="24" spans="1:12" x14ac:dyDescent="0.3">
      <c r="A24" s="7">
        <v>105</v>
      </c>
      <c r="B24" s="7" t="s">
        <v>83</v>
      </c>
      <c r="C24" s="7">
        <v>55</v>
      </c>
      <c r="D24" s="7">
        <v>68</v>
      </c>
      <c r="F24" s="7">
        <f>SUM(C24:E24)</f>
        <v>123</v>
      </c>
    </row>
  </sheetData>
  <conditionalFormatting sqref="C2:L16">
    <cfRule type="cellIs" dxfId="17" priority="1" operator="equal">
      <formula>"A"</formula>
    </cfRule>
    <cfRule type="cellIs" dxfId="16" priority="2" operator="equal">
      <formula>"P"</formula>
    </cfRule>
    <cfRule type="cellIs" dxfId="15" priority="3" operator="equal">
      <formula>"A"</formula>
    </cfRule>
  </conditionalFormatting>
  <dataValidations count="1">
    <dataValidation type="list" allowBlank="1" showInputMessage="1" showErrorMessage="1" sqref="C2:L16" xr:uid="{421D993C-92C8-4057-95DD-E773929EFC2D}">
      <formula1>"P, A"</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75419-2EBB-4AFA-A710-9543AE26A86C}">
  <dimension ref="A1:N23"/>
  <sheetViews>
    <sheetView workbookViewId="0">
      <selection activeCell="H6" sqref="H6"/>
    </sheetView>
  </sheetViews>
  <sheetFormatPr defaultRowHeight="14.4" x14ac:dyDescent="0.3"/>
  <cols>
    <col min="1" max="1" width="14.6640625" customWidth="1"/>
    <col min="2" max="2" width="17" customWidth="1"/>
    <col min="3" max="3" width="13.77734375" customWidth="1"/>
    <col min="4" max="4" width="14" customWidth="1"/>
    <col min="5" max="5" width="9.33203125" customWidth="1"/>
    <col min="6" max="6" width="10.21875" customWidth="1"/>
    <col min="8" max="8" width="10.88671875" customWidth="1"/>
    <col min="9" max="9" width="11.5546875" customWidth="1"/>
    <col min="10" max="11" width="11.77734375" customWidth="1"/>
    <col min="12" max="12" width="10.44140625" customWidth="1"/>
    <col min="13" max="13" width="10.33203125" customWidth="1"/>
    <col min="14" max="14" width="10.6640625" customWidth="1"/>
  </cols>
  <sheetData>
    <row r="1" spans="1:14" x14ac:dyDescent="0.3">
      <c r="A1" s="7" t="s">
        <v>98</v>
      </c>
      <c r="B1" s="7" t="s">
        <v>99</v>
      </c>
    </row>
    <row r="2" spans="1:14" x14ac:dyDescent="0.3">
      <c r="A2" s="7" t="s">
        <v>62</v>
      </c>
      <c r="B2" s="7" t="s">
        <v>100</v>
      </c>
      <c r="E2" t="s">
        <v>99</v>
      </c>
    </row>
    <row r="3" spans="1:14" x14ac:dyDescent="0.3">
      <c r="A3" s="7" t="s">
        <v>54</v>
      </c>
      <c r="B3" s="7" t="s">
        <v>101</v>
      </c>
    </row>
    <row r="4" spans="1:14" x14ac:dyDescent="0.3">
      <c r="A4" s="7" t="s">
        <v>51</v>
      </c>
      <c r="B4" s="7" t="s">
        <v>102</v>
      </c>
    </row>
    <row r="5" spans="1:14" x14ac:dyDescent="0.3">
      <c r="A5" s="7"/>
      <c r="B5" s="7"/>
    </row>
    <row r="8" spans="1:14" x14ac:dyDescent="0.3">
      <c r="A8" s="9" t="s">
        <v>103</v>
      </c>
      <c r="B8" s="9" t="s">
        <v>5</v>
      </c>
      <c r="C8" s="9" t="s">
        <v>3</v>
      </c>
      <c r="D8" s="9" t="s">
        <v>104</v>
      </c>
      <c r="E8" s="9" t="s">
        <v>6</v>
      </c>
      <c r="F8" s="9" t="s">
        <v>7</v>
      </c>
      <c r="H8" s="7" t="s">
        <v>110</v>
      </c>
      <c r="I8" s="7">
        <v>2026</v>
      </c>
      <c r="J8" s="7"/>
      <c r="K8" s="7"/>
      <c r="L8" s="7"/>
      <c r="M8" s="7"/>
      <c r="N8" s="7"/>
    </row>
    <row r="9" spans="1:14" x14ac:dyDescent="0.3">
      <c r="A9" s="11">
        <v>46031</v>
      </c>
      <c r="B9" s="7" t="s">
        <v>12</v>
      </c>
      <c r="C9" s="7" t="s">
        <v>14</v>
      </c>
      <c r="D9" s="7" t="s">
        <v>30</v>
      </c>
      <c r="E9" s="7">
        <v>55000</v>
      </c>
      <c r="F9" s="7">
        <v>2</v>
      </c>
      <c r="H9" s="7" t="s">
        <v>111</v>
      </c>
      <c r="I9" s="7">
        <v>8</v>
      </c>
      <c r="J9" s="7"/>
      <c r="K9" s="7"/>
      <c r="L9" s="7"/>
      <c r="M9" s="7"/>
      <c r="N9" s="7"/>
    </row>
    <row r="10" spans="1:14" x14ac:dyDescent="0.3">
      <c r="A10" s="11">
        <v>46062</v>
      </c>
      <c r="B10" s="7" t="s">
        <v>105</v>
      </c>
      <c r="C10" s="7" t="s">
        <v>10</v>
      </c>
      <c r="D10" s="7" t="s">
        <v>23</v>
      </c>
      <c r="E10" s="7">
        <v>1500</v>
      </c>
      <c r="F10" s="7">
        <v>5</v>
      </c>
      <c r="H10" s="7"/>
      <c r="I10" s="7"/>
      <c r="J10" s="7"/>
      <c r="K10" s="7"/>
      <c r="L10" s="7"/>
      <c r="M10" s="7"/>
      <c r="N10" s="7"/>
    </row>
    <row r="11" spans="1:14" x14ac:dyDescent="0.3">
      <c r="A11" s="11">
        <v>46090</v>
      </c>
      <c r="B11" s="7" t="s">
        <v>41</v>
      </c>
      <c r="C11" s="7" t="s">
        <v>20</v>
      </c>
      <c r="D11" s="7" t="s">
        <v>9</v>
      </c>
      <c r="E11" s="7">
        <v>3000</v>
      </c>
      <c r="F11" s="7">
        <v>3</v>
      </c>
      <c r="H11" s="7" t="s">
        <v>112</v>
      </c>
      <c r="I11" s="7" t="s">
        <v>113</v>
      </c>
      <c r="J11" s="7" t="s">
        <v>116</v>
      </c>
      <c r="K11" s="7" t="s">
        <v>114</v>
      </c>
      <c r="L11" s="7" t="s">
        <v>115</v>
      </c>
      <c r="M11" s="7" t="s">
        <v>117</v>
      </c>
      <c r="N11" s="7" t="s">
        <v>118</v>
      </c>
    </row>
    <row r="12" spans="1:14" x14ac:dyDescent="0.3">
      <c r="A12" s="11">
        <v>46121</v>
      </c>
      <c r="B12" s="7" t="s">
        <v>31</v>
      </c>
      <c r="C12" s="7" t="s">
        <v>24</v>
      </c>
      <c r="D12" s="7" t="s">
        <v>17</v>
      </c>
      <c r="E12" s="7">
        <v>24000</v>
      </c>
      <c r="F12" s="7">
        <v>4</v>
      </c>
      <c r="H12" s="11">
        <f>DATE(I8, I9, 1) - WEEKDAY(DATE(I8, I9, 1), 1) +1</f>
        <v>46229</v>
      </c>
      <c r="I12" s="11">
        <f>H12+1</f>
        <v>46230</v>
      </c>
      <c r="J12" s="11">
        <f t="shared" ref="J12:N12" si="0">I12+1</f>
        <v>46231</v>
      </c>
      <c r="K12" s="11">
        <f t="shared" si="0"/>
        <v>46232</v>
      </c>
      <c r="L12" s="11">
        <f t="shared" si="0"/>
        <v>46233</v>
      </c>
      <c r="M12" s="11">
        <f t="shared" si="0"/>
        <v>46234</v>
      </c>
      <c r="N12" s="11">
        <f t="shared" si="0"/>
        <v>46235</v>
      </c>
    </row>
    <row r="13" spans="1:14" x14ac:dyDescent="0.3">
      <c r="A13" s="11">
        <v>46151</v>
      </c>
      <c r="B13" s="7" t="s">
        <v>106</v>
      </c>
      <c r="C13" s="7" t="s">
        <v>14</v>
      </c>
      <c r="D13" s="7" t="s">
        <v>30</v>
      </c>
      <c r="E13" s="7">
        <v>18000</v>
      </c>
      <c r="F13" s="7">
        <v>2</v>
      </c>
      <c r="H13" s="11">
        <f>H12+7</f>
        <v>46236</v>
      </c>
      <c r="I13" s="11">
        <f t="shared" ref="I13:N13" si="1">I12+7</f>
        <v>46237</v>
      </c>
      <c r="J13" s="11">
        <f t="shared" si="1"/>
        <v>46238</v>
      </c>
      <c r="K13" s="11">
        <f t="shared" si="1"/>
        <v>46239</v>
      </c>
      <c r="L13" s="11">
        <f t="shared" si="1"/>
        <v>46240</v>
      </c>
      <c r="M13" s="11">
        <f t="shared" si="1"/>
        <v>46241</v>
      </c>
      <c r="N13" s="11">
        <f t="shared" si="1"/>
        <v>46242</v>
      </c>
    </row>
    <row r="14" spans="1:14" x14ac:dyDescent="0.3">
      <c r="A14" s="11">
        <v>46182</v>
      </c>
      <c r="B14" s="7" t="s">
        <v>12</v>
      </c>
      <c r="C14" s="7" t="s">
        <v>10</v>
      </c>
      <c r="D14" s="7" t="s">
        <v>23</v>
      </c>
      <c r="E14" s="7">
        <v>75000</v>
      </c>
      <c r="F14" s="7">
        <v>3</v>
      </c>
      <c r="H14" s="11">
        <f t="shared" ref="H14:H22" si="2">H13+7</f>
        <v>46243</v>
      </c>
      <c r="I14" s="11">
        <f t="shared" ref="I14:I22" si="3">I13+7</f>
        <v>46244</v>
      </c>
      <c r="J14" s="11">
        <f t="shared" ref="J14:J22" si="4">J13+7</f>
        <v>46245</v>
      </c>
      <c r="K14" s="11">
        <f t="shared" ref="K14:K22" si="5">K13+7</f>
        <v>46246</v>
      </c>
      <c r="L14" s="11">
        <f t="shared" ref="L14:L22" si="6">L13+7</f>
        <v>46247</v>
      </c>
      <c r="M14" s="11">
        <f t="shared" ref="M14:M22" si="7">M13+7</f>
        <v>46248</v>
      </c>
      <c r="N14" s="11">
        <f t="shared" ref="N14:N22" si="8">N13+7</f>
        <v>46249</v>
      </c>
    </row>
    <row r="15" spans="1:14" x14ac:dyDescent="0.3">
      <c r="A15" s="11">
        <v>46212</v>
      </c>
      <c r="B15" s="7" t="s">
        <v>105</v>
      </c>
      <c r="C15" s="7" t="s">
        <v>20</v>
      </c>
      <c r="D15" s="7" t="s">
        <v>9</v>
      </c>
      <c r="E15" s="7">
        <v>2400</v>
      </c>
      <c r="F15" s="7">
        <v>8</v>
      </c>
      <c r="H15" s="11">
        <f t="shared" si="2"/>
        <v>46250</v>
      </c>
      <c r="I15" s="11">
        <f t="shared" si="3"/>
        <v>46251</v>
      </c>
      <c r="J15" s="11">
        <f t="shared" si="4"/>
        <v>46252</v>
      </c>
      <c r="K15" s="11">
        <f t="shared" si="5"/>
        <v>46253</v>
      </c>
      <c r="L15" s="11">
        <f t="shared" si="6"/>
        <v>46254</v>
      </c>
      <c r="M15" s="11">
        <f t="shared" si="7"/>
        <v>46255</v>
      </c>
      <c r="N15" s="11">
        <f t="shared" si="8"/>
        <v>46256</v>
      </c>
    </row>
    <row r="16" spans="1:14" x14ac:dyDescent="0.3">
      <c r="A16" s="11">
        <v>46243</v>
      </c>
      <c r="B16" s="7" t="s">
        <v>41</v>
      </c>
      <c r="C16" s="7" t="s">
        <v>24</v>
      </c>
      <c r="D16" s="7" t="s">
        <v>17</v>
      </c>
      <c r="E16" s="7">
        <v>4500</v>
      </c>
      <c r="F16" s="7">
        <v>5</v>
      </c>
      <c r="H16" s="11">
        <f t="shared" si="2"/>
        <v>46257</v>
      </c>
      <c r="I16" s="11">
        <f t="shared" si="3"/>
        <v>46258</v>
      </c>
      <c r="J16" s="11">
        <f t="shared" si="4"/>
        <v>46259</v>
      </c>
      <c r="K16" s="11">
        <f t="shared" si="5"/>
        <v>46260</v>
      </c>
      <c r="L16" s="11">
        <f t="shared" si="6"/>
        <v>46261</v>
      </c>
      <c r="M16" s="11">
        <f t="shared" si="7"/>
        <v>46262</v>
      </c>
      <c r="N16" s="11">
        <f t="shared" si="8"/>
        <v>46263</v>
      </c>
    </row>
    <row r="17" spans="1:14" x14ac:dyDescent="0.3">
      <c r="A17" s="11">
        <v>46274</v>
      </c>
      <c r="B17" s="7" t="s">
        <v>31</v>
      </c>
      <c r="C17" s="7" t="s">
        <v>14</v>
      </c>
      <c r="D17" s="7" t="s">
        <v>30</v>
      </c>
      <c r="E17" s="7">
        <v>36000</v>
      </c>
      <c r="F17" s="7">
        <v>6</v>
      </c>
      <c r="H17" s="11">
        <f t="shared" si="2"/>
        <v>46264</v>
      </c>
      <c r="I17" s="11">
        <f t="shared" si="3"/>
        <v>46265</v>
      </c>
      <c r="J17" s="11">
        <f t="shared" si="4"/>
        <v>46266</v>
      </c>
      <c r="K17" s="11">
        <f t="shared" si="5"/>
        <v>46267</v>
      </c>
      <c r="L17" s="11">
        <f t="shared" si="6"/>
        <v>46268</v>
      </c>
      <c r="M17" s="11">
        <f t="shared" si="7"/>
        <v>46269</v>
      </c>
      <c r="N17" s="11">
        <f t="shared" si="8"/>
        <v>46270</v>
      </c>
    </row>
    <row r="18" spans="1:14" x14ac:dyDescent="0.3">
      <c r="A18" s="11">
        <v>46304</v>
      </c>
      <c r="B18" s="7" t="s">
        <v>106</v>
      </c>
      <c r="C18" s="7" t="s">
        <v>10</v>
      </c>
      <c r="D18" s="7" t="s">
        <v>23</v>
      </c>
      <c r="E18" s="7">
        <v>27000</v>
      </c>
      <c r="F18" s="7">
        <v>3</v>
      </c>
      <c r="H18" s="11">
        <f t="shared" si="2"/>
        <v>46271</v>
      </c>
      <c r="I18" s="11">
        <f t="shared" si="3"/>
        <v>46272</v>
      </c>
      <c r="J18" s="11">
        <f t="shared" si="4"/>
        <v>46273</v>
      </c>
      <c r="K18" s="11">
        <f t="shared" si="5"/>
        <v>46274</v>
      </c>
      <c r="L18" s="11">
        <f t="shared" si="6"/>
        <v>46275</v>
      </c>
      <c r="M18" s="11">
        <f t="shared" si="7"/>
        <v>46276</v>
      </c>
      <c r="N18" s="11">
        <f t="shared" si="8"/>
        <v>46277</v>
      </c>
    </row>
    <row r="19" spans="1:14" x14ac:dyDescent="0.3">
      <c r="A19" s="11">
        <v>46335</v>
      </c>
      <c r="B19" s="7" t="s">
        <v>12</v>
      </c>
      <c r="C19" s="7" t="s">
        <v>20</v>
      </c>
      <c r="D19" s="7" t="s">
        <v>9</v>
      </c>
      <c r="E19" s="7">
        <v>60000</v>
      </c>
      <c r="F19" s="7">
        <v>2</v>
      </c>
      <c r="H19" s="11">
        <f t="shared" si="2"/>
        <v>46278</v>
      </c>
      <c r="I19" s="11">
        <f t="shared" si="3"/>
        <v>46279</v>
      </c>
      <c r="J19" s="11">
        <f t="shared" si="4"/>
        <v>46280</v>
      </c>
      <c r="K19" s="11">
        <f t="shared" si="5"/>
        <v>46281</v>
      </c>
      <c r="L19" s="11">
        <f t="shared" si="6"/>
        <v>46282</v>
      </c>
      <c r="M19" s="11">
        <f t="shared" si="7"/>
        <v>46283</v>
      </c>
      <c r="N19" s="11">
        <f t="shared" si="8"/>
        <v>46284</v>
      </c>
    </row>
    <row r="20" spans="1:14" x14ac:dyDescent="0.3">
      <c r="A20" s="11">
        <v>46365</v>
      </c>
      <c r="B20" s="7" t="s">
        <v>105</v>
      </c>
      <c r="C20" s="7" t="s">
        <v>24</v>
      </c>
      <c r="D20" s="7" t="s">
        <v>17</v>
      </c>
      <c r="E20" s="7">
        <v>1800</v>
      </c>
      <c r="F20" s="7">
        <v>6</v>
      </c>
      <c r="H20" s="11">
        <f t="shared" si="2"/>
        <v>46285</v>
      </c>
      <c r="I20" s="11">
        <f t="shared" si="3"/>
        <v>46286</v>
      </c>
      <c r="J20" s="11">
        <f t="shared" si="4"/>
        <v>46287</v>
      </c>
      <c r="K20" s="11">
        <f t="shared" si="5"/>
        <v>46288</v>
      </c>
      <c r="L20" s="11">
        <f t="shared" si="6"/>
        <v>46289</v>
      </c>
      <c r="M20" s="11">
        <f t="shared" si="7"/>
        <v>46290</v>
      </c>
      <c r="N20" s="11">
        <f t="shared" si="8"/>
        <v>46291</v>
      </c>
    </row>
    <row r="21" spans="1:14" x14ac:dyDescent="0.3">
      <c r="A21" s="7" t="s">
        <v>107</v>
      </c>
      <c r="B21" s="7" t="s">
        <v>41</v>
      </c>
      <c r="C21" s="7" t="s">
        <v>14</v>
      </c>
      <c r="D21" s="7" t="s">
        <v>30</v>
      </c>
      <c r="E21" s="7">
        <v>3600</v>
      </c>
      <c r="F21" s="7">
        <v>4</v>
      </c>
      <c r="H21" s="11">
        <f t="shared" si="2"/>
        <v>46292</v>
      </c>
      <c r="I21" s="11">
        <f t="shared" si="3"/>
        <v>46293</v>
      </c>
      <c r="J21" s="11">
        <f t="shared" si="4"/>
        <v>46294</v>
      </c>
      <c r="K21" s="11">
        <f t="shared" si="5"/>
        <v>46295</v>
      </c>
      <c r="L21" s="11">
        <f t="shared" si="6"/>
        <v>46296</v>
      </c>
      <c r="M21" s="11">
        <f t="shared" si="7"/>
        <v>46297</v>
      </c>
      <c r="N21" s="11">
        <f t="shared" si="8"/>
        <v>46298</v>
      </c>
    </row>
    <row r="22" spans="1:14" x14ac:dyDescent="0.3">
      <c r="A22" s="7" t="s">
        <v>108</v>
      </c>
      <c r="B22" s="7" t="s">
        <v>31</v>
      </c>
      <c r="C22" s="7" t="s">
        <v>10</v>
      </c>
      <c r="D22" s="7" t="s">
        <v>23</v>
      </c>
      <c r="E22" s="7">
        <v>30000</v>
      </c>
      <c r="F22" s="7">
        <v>5</v>
      </c>
      <c r="H22" s="11">
        <f t="shared" si="2"/>
        <v>46299</v>
      </c>
      <c r="I22" s="11">
        <f t="shared" si="3"/>
        <v>46300</v>
      </c>
      <c r="J22" s="11">
        <f t="shared" si="4"/>
        <v>46301</v>
      </c>
      <c r="K22" s="11">
        <f t="shared" si="5"/>
        <v>46302</v>
      </c>
      <c r="L22" s="11">
        <f t="shared" si="6"/>
        <v>46303</v>
      </c>
      <c r="M22" s="11">
        <f t="shared" si="7"/>
        <v>46304</v>
      </c>
      <c r="N22" s="11">
        <f t="shared" si="8"/>
        <v>46305</v>
      </c>
    </row>
    <row r="23" spans="1:14" x14ac:dyDescent="0.3">
      <c r="A23" s="7" t="s">
        <v>109</v>
      </c>
      <c r="B23" s="7" t="s">
        <v>106</v>
      </c>
      <c r="C23" s="7" t="s">
        <v>20</v>
      </c>
      <c r="D23" s="7" t="s">
        <v>9</v>
      </c>
      <c r="E23" s="7">
        <v>36000</v>
      </c>
      <c r="F23" s="7">
        <v>4</v>
      </c>
      <c r="H23" s="10"/>
      <c r="I23" s="10"/>
      <c r="J23" s="10"/>
      <c r="K23" s="10"/>
      <c r="L23" s="10"/>
      <c r="M23" s="10"/>
      <c r="N23" s="10"/>
    </row>
  </sheetData>
  <conditionalFormatting sqref="A8:F23">
    <cfRule type="expression" dxfId="14" priority="1">
      <formula>A1&lt;&gt;""</formula>
    </cfRule>
  </conditionalFormatting>
  <dataValidations count="1">
    <dataValidation type="list" allowBlank="1" showInputMessage="1" showErrorMessage="1" sqref="E2" xr:uid="{5562C0B2-20CD-41BF-A9C7-CF12EAF2548B}">
      <formula1>"Gujarat, Maharashtra"</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Sheet1</vt:lpstr>
      <vt:lpstr>Sheet 2</vt:lpstr>
      <vt:lpstr>Sheet3</vt:lpstr>
      <vt:lpstr>Sheet4</vt:lpstr>
      <vt:lpstr>Sheet4!Gujarat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Raj Aghara Ashok aghara</cp:lastModifiedBy>
  <dcterms:created xsi:type="dcterms:W3CDTF">2015-06-05T18:17:20Z</dcterms:created>
  <dcterms:modified xsi:type="dcterms:W3CDTF">2026-09-25T06:15:45Z</dcterms:modified>
</cp:coreProperties>
</file>